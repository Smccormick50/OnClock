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coys4.sharepoint.com/sites/MoneyMatters/Accounting/Expense Reports/"/>
    </mc:Choice>
  </mc:AlternateContent>
  <xr:revisionPtr revIDLastSave="271" documentId="8_{DD4F03F8-709E-42F5-8F35-CA1C26D486E4}" xr6:coauthVersionLast="47" xr6:coauthVersionMax="47" xr10:uidLastSave="{D19590AE-0CEE-4D33-A4E1-87CDF8CD1455}"/>
  <bookViews>
    <workbookView xWindow="-108" yWindow="-108" windowWidth="23256" windowHeight="12456" xr2:uid="{BAE582E4-A673-4737-A370-A456A9EBDD2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3" i="1" l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O23" i="1"/>
  <c r="K23" i="1" l="1"/>
  <c r="O22" i="1" l="1"/>
  <c r="O53" i="1"/>
  <c r="K53" i="1"/>
  <c r="O52" i="1"/>
  <c r="K52" i="1"/>
  <c r="O51" i="1"/>
  <c r="K51" i="1"/>
  <c r="O50" i="1"/>
  <c r="K50" i="1"/>
  <c r="O49" i="1"/>
  <c r="K49" i="1"/>
  <c r="O48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2" i="1"/>
  <c r="O21" i="1"/>
  <c r="K21" i="1"/>
  <c r="O20" i="1"/>
  <c r="K20" i="1"/>
  <c r="O19" i="1"/>
  <c r="K19" i="1"/>
  <c r="O18" i="1"/>
  <c r="K18" i="1"/>
  <c r="O17" i="1"/>
  <c r="P55" i="1" s="1"/>
  <c r="K17" i="1"/>
  <c r="O24" i="1" l="1"/>
  <c r="O25" i="1" l="1"/>
  <c r="O26" i="1" l="1"/>
  <c r="O27" i="1" l="1"/>
  <c r="O28" i="1" l="1"/>
  <c r="O29" i="1" l="1"/>
  <c r="O30" i="1" l="1"/>
  <c r="O31" i="1" l="1"/>
  <c r="O32" i="1" l="1"/>
  <c r="O33" i="1" l="1"/>
  <c r="O34" i="1" l="1"/>
  <c r="O35" i="1" l="1"/>
  <c r="O36" i="1" l="1"/>
  <c r="O37" i="1" l="1"/>
  <c r="O38" i="1" l="1"/>
  <c r="O39" i="1" l="1"/>
  <c r="O40" i="1" l="1"/>
  <c r="O41" i="1" l="1"/>
  <c r="O42" i="1" l="1"/>
  <c r="O43" i="1" l="1"/>
  <c r="O44" i="1" l="1"/>
  <c r="O45" i="1" l="1"/>
  <c r="O47" i="1" l="1"/>
  <c r="O46" i="1"/>
  <c r="O55" i="1" l="1"/>
</calcChain>
</file>

<file path=xl/sharedStrings.xml><?xml version="1.0" encoding="utf-8"?>
<sst xmlns="http://schemas.openxmlformats.org/spreadsheetml/2006/main" count="21" uniqueCount="20">
  <si>
    <t>McCOY CORPORATION - BULK MILEAGE REIMBURSEMENT FORM</t>
  </si>
  <si>
    <t>EMPLOYEE'S LAST NAME, FIRST NAME:</t>
  </si>
  <si>
    <t>EMPLOYEE #:</t>
  </si>
  <si>
    <t>EMPLOYEE'S DEPT / STORE #:</t>
  </si>
  <si>
    <t>MILEAGE</t>
  </si>
  <si>
    <t>MILEAGE BEGIN DATE:</t>
  </si>
  <si>
    <t>MILEAGE END DATE:</t>
  </si>
  <si>
    <t>MILEAGE DESCRIPTION:</t>
  </si>
  <si>
    <t>MILEAGE FOR DEPT/ STORE#?:</t>
  </si>
  <si>
    <t>$ AMOUNT</t>
  </si>
  <si>
    <t>BEGINNING</t>
  </si>
  <si>
    <t>ENDING</t>
  </si>
  <si>
    <t>TOTAL</t>
  </si>
  <si>
    <t>@ $.73 / MILE</t>
  </si>
  <si>
    <t>ODOMETER</t>
  </si>
  <si>
    <t>MILES</t>
  </si>
  <si>
    <t>(EFF 08/01/2026)</t>
  </si>
  <si>
    <t>MILEAGE TOTALS:</t>
  </si>
  <si>
    <t>EMPLOYEE'S SIGNATURE:</t>
  </si>
  <si>
    <r>
      <t xml:space="preserve">*Use this form for miles driven </t>
    </r>
    <r>
      <rPr>
        <b/>
        <u/>
        <sz val="10"/>
        <rFont val="Arial"/>
        <family val="2"/>
      </rPr>
      <t>ON</t>
    </r>
    <r>
      <rPr>
        <b/>
        <sz val="10"/>
        <rFont val="Arial"/>
        <family val="2"/>
      </rPr>
      <t xml:space="preserve"> or </t>
    </r>
    <r>
      <rPr>
        <b/>
        <u/>
        <sz val="10"/>
        <rFont val="Arial"/>
        <family val="2"/>
      </rPr>
      <t>AFTER</t>
    </r>
    <r>
      <rPr>
        <b/>
        <sz val="10"/>
        <rFont val="Arial"/>
        <family val="2"/>
      </rPr>
      <t xml:space="preserve"> August 1st, 2026*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</si>
</sst>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3" formatCode="_(* #,##0.00_);_(* \(#,##0.00\);_(* &quot;-&quot;??_);_(@_)"/>
    <numFmt numFmtId="164" formatCode="&quot;$&quot;#,##0.00;[Red]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6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1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8" fontId="2" fillId="0" borderId="0" xfId="1" applyNumberFormat="1" applyFont="1" applyAlignment="1">
      <alignment horizontal="center" vertical="center"/>
    </xf>
    <xf numFmtId="0" fontId="2" fillId="0" borderId="1" xfId="0" applyFont="1" applyBorder="1"/>
    <xf numFmtId="15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8" fontId="2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/>
    <xf numFmtId="15" fontId="4" fillId="0" borderId="0" xfId="0" applyNumberFormat="1" applyFont="1" applyAlignment="1">
      <alignment horizontal="center" vertical="center"/>
    </xf>
    <xf numFmtId="38" fontId="2" fillId="0" borderId="0" xfId="1" applyNumberFormat="1" applyFont="1" applyBorder="1" applyAlignment="1" applyProtection="1">
      <alignment horizontal="center" vertical="center"/>
    </xf>
    <xf numFmtId="0" fontId="2" fillId="0" borderId="5" xfId="0" applyFont="1" applyBorder="1" applyAlignment="1">
      <alignment horizontal="center" vertical="center"/>
    </xf>
    <xf numFmtId="40" fontId="2" fillId="0" borderId="0" xfId="0" applyNumberFormat="1" applyFont="1" applyAlignment="1">
      <alignment horizontal="left"/>
    </xf>
    <xf numFmtId="49" fontId="5" fillId="0" borderId="0" xfId="0" applyNumberFormat="1" applyFont="1" applyAlignment="1" applyProtection="1">
      <alignment vertical="center" wrapText="1"/>
      <protection hidden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49" fontId="5" fillId="0" borderId="0" xfId="0" applyNumberFormat="1" applyFont="1" applyAlignment="1" applyProtection="1">
      <alignment horizontal="center" vertical="center" wrapText="1"/>
      <protection hidden="1"/>
    </xf>
    <xf numFmtId="15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5" fillId="0" borderId="5" xfId="0" applyNumberFormat="1" applyFont="1" applyBorder="1" applyAlignment="1">
      <alignment horizontal="center" vertical="center"/>
    </xf>
    <xf numFmtId="0" fontId="2" fillId="0" borderId="8" xfId="0" applyFont="1" applyBorder="1"/>
    <xf numFmtId="15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15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quotePrefix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3" fontId="2" fillId="0" borderId="16" xfId="0" applyNumberFormat="1" applyFont="1" applyBorder="1" applyAlignment="1" applyProtection="1">
      <alignment horizontal="center" vertical="center"/>
      <protection locked="0"/>
    </xf>
    <xf numFmtId="3" fontId="2" fillId="0" borderId="16" xfId="1" applyNumberFormat="1" applyFont="1" applyFill="1" applyBorder="1" applyAlignment="1" applyProtection="1">
      <alignment horizontal="right" vertical="center"/>
    </xf>
    <xf numFmtId="14" fontId="2" fillId="0" borderId="4" xfId="0" applyNumberFormat="1" applyFont="1" applyBorder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3" fontId="2" fillId="0" borderId="0" xfId="1" applyNumberFormat="1" applyFont="1" applyFill="1" applyBorder="1" applyAlignment="1" applyProtection="1">
      <alignment horizontal="right" vertical="center"/>
    </xf>
    <xf numFmtId="7" fontId="2" fillId="0" borderId="5" xfId="0" applyNumberFormat="1" applyFont="1" applyBorder="1" applyAlignment="1">
      <alignment horizontal="right" vertical="center"/>
    </xf>
    <xf numFmtId="0" fontId="2" fillId="0" borderId="4" xfId="0" applyFont="1" applyBorder="1" applyProtection="1">
      <protection locked="0"/>
    </xf>
    <xf numFmtId="3" fontId="5" fillId="0" borderId="11" xfId="1" applyNumberFormat="1" applyFont="1" applyFill="1" applyBorder="1" applyAlignment="1" applyProtection="1">
      <alignment horizontal="right" vertical="center"/>
    </xf>
    <xf numFmtId="0" fontId="5" fillId="0" borderId="0" xfId="0" applyFont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15" fontId="2" fillId="0" borderId="0" xfId="0" applyNumberFormat="1" applyFont="1" applyAlignment="1">
      <alignment horizontal="left" vertical="center"/>
    </xf>
    <xf numFmtId="0" fontId="2" fillId="0" borderId="8" xfId="0" applyFont="1" applyBorder="1" applyProtection="1">
      <protection locked="0"/>
    </xf>
    <xf numFmtId="0" fontId="5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38" fontId="2" fillId="0" borderId="9" xfId="1" applyNumberFormat="1" applyFont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15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38" fontId="2" fillId="0" borderId="0" xfId="1" applyNumberFormat="1" applyFont="1" applyBorder="1" applyAlignment="1" applyProtection="1">
      <alignment horizontal="center" vertical="center"/>
      <protection locked="0"/>
    </xf>
    <xf numFmtId="15" fontId="4" fillId="0" borderId="0" xfId="0" applyNumberFormat="1" applyFont="1" applyAlignment="1" applyProtection="1">
      <alignment horizontal="center" vertical="center"/>
      <protection locked="0"/>
    </xf>
    <xf numFmtId="38" fontId="2" fillId="0" borderId="0" xfId="1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38" fontId="5" fillId="0" borderId="0" xfId="1" applyNumberFormat="1" applyFont="1" applyFill="1" applyBorder="1" applyAlignment="1" applyProtection="1">
      <alignment horizontal="center" vertical="center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38" fontId="2" fillId="0" borderId="0" xfId="1" applyNumberFormat="1" applyFont="1" applyAlignment="1" applyProtection="1">
      <alignment horizontal="center" vertical="center"/>
    </xf>
    <xf numFmtId="7" fontId="5" fillId="0" borderId="11" xfId="0" applyNumberFormat="1" applyFont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3" fontId="2" fillId="0" borderId="19" xfId="0" applyNumberFormat="1" applyFont="1" applyBorder="1" applyAlignment="1" applyProtection="1">
      <alignment horizontal="center" vertical="center"/>
      <protection locked="0"/>
    </xf>
    <xf numFmtId="3" fontId="2" fillId="0" borderId="19" xfId="1" applyNumberFormat="1" applyFont="1" applyFill="1" applyBorder="1" applyAlignment="1" applyProtection="1">
      <alignment horizontal="right" vertical="center"/>
    </xf>
    <xf numFmtId="7" fontId="2" fillId="0" borderId="20" xfId="0" applyNumberFormat="1" applyFont="1" applyBorder="1" applyAlignment="1">
      <alignment horizontal="right" vertical="center"/>
    </xf>
    <xf numFmtId="7" fontId="2" fillId="0" borderId="22" xfId="0" applyNumberFormat="1" applyFont="1" applyBorder="1" applyAlignment="1">
      <alignment horizontal="right" vertical="center"/>
    </xf>
    <xf numFmtId="3" fontId="2" fillId="0" borderId="24" xfId="0" applyNumberFormat="1" applyFont="1" applyBorder="1" applyAlignment="1" applyProtection="1">
      <alignment horizontal="center" vertical="center"/>
      <protection locked="0"/>
    </xf>
    <xf numFmtId="3" fontId="2" fillId="0" borderId="24" xfId="1" applyNumberFormat="1" applyFont="1" applyFill="1" applyBorder="1" applyAlignment="1" applyProtection="1">
      <alignment horizontal="right" vertical="center"/>
    </xf>
    <xf numFmtId="7" fontId="2" fillId="0" borderId="25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14" fontId="2" fillId="0" borderId="21" xfId="0" applyNumberFormat="1" applyFont="1" applyBorder="1" applyAlignment="1" applyProtection="1">
      <alignment horizontal="center" vertical="center"/>
      <protection locked="0"/>
    </xf>
    <xf numFmtId="14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1" fontId="5" fillId="0" borderId="16" xfId="0" applyNumberFormat="1" applyFont="1" applyBorder="1" applyAlignment="1">
      <alignment horizontal="center" vertical="center"/>
    </xf>
    <xf numFmtId="15" fontId="2" fillId="0" borderId="0" xfId="0" applyNumberFormat="1" applyFont="1" applyAlignment="1">
      <alignment horizontal="left" vertical="center" wrapText="1"/>
    </xf>
    <xf numFmtId="3" fontId="5" fillId="0" borderId="13" xfId="0" applyNumberFormat="1" applyFont="1" applyBorder="1" applyAlignment="1">
      <alignment horizontal="right" vertical="center"/>
    </xf>
    <xf numFmtId="3" fontId="5" fillId="0" borderId="17" xfId="0" applyNumberFormat="1" applyFont="1" applyBorder="1" applyAlignment="1">
      <alignment horizontal="right" vertical="center"/>
    </xf>
    <xf numFmtId="3" fontId="5" fillId="0" borderId="14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39" fontId="5" fillId="0" borderId="0" xfId="0" applyNumberFormat="1" applyFont="1" applyAlignment="1">
      <alignment horizontal="center" vertical="center"/>
    </xf>
    <xf numFmtId="14" fontId="2" fillId="0" borderId="23" xfId="0" applyNumberFormat="1" applyFont="1" applyBorder="1" applyAlignment="1" applyProtection="1">
      <alignment horizontal="center" vertical="center"/>
      <protection locked="0"/>
    </xf>
    <xf numFmtId="14" fontId="2" fillId="0" borderId="24" xfId="0" applyNumberFormat="1" applyFont="1" applyBorder="1" applyAlignment="1" applyProtection="1">
      <alignment horizontal="center" vertical="center"/>
      <protection locked="0"/>
    </xf>
    <xf numFmtId="49" fontId="2" fillId="0" borderId="24" xfId="0" applyNumberFormat="1" applyFont="1" applyBorder="1" applyAlignment="1" applyProtection="1">
      <alignment horizontal="center" vertical="center"/>
      <protection locked="0"/>
    </xf>
    <xf numFmtId="1" fontId="5" fillId="0" borderId="24" xfId="0" applyNumberFormat="1" applyFont="1" applyBorder="1" applyAlignment="1">
      <alignment horizontal="center" vertical="center"/>
    </xf>
    <xf numFmtId="14" fontId="2" fillId="0" borderId="18" xfId="0" applyNumberFormat="1" applyFont="1" applyBorder="1" applyAlignment="1" applyProtection="1">
      <alignment horizontal="center" vertical="center"/>
      <protection locked="0"/>
    </xf>
    <xf numFmtId="14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1" fontId="5" fillId="0" borderId="19" xfId="0" applyNumberFormat="1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/>
    </xf>
    <xf numFmtId="15" fontId="3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right" vertical="center"/>
    </xf>
    <xf numFmtId="15" fontId="5" fillId="0" borderId="11" xfId="0" applyNumberFormat="1" applyFont="1" applyBorder="1" applyAlignment="1">
      <alignment horizontal="center" vertical="center"/>
    </xf>
    <xf numFmtId="15" fontId="5" fillId="0" borderId="12" xfId="0" applyNumberFormat="1" applyFont="1" applyBorder="1" applyAlignment="1">
      <alignment horizontal="center" vertical="center"/>
    </xf>
    <xf numFmtId="15" fontId="5" fillId="0" borderId="11" xfId="0" applyNumberFormat="1" applyFont="1" applyBorder="1" applyAlignment="1">
      <alignment horizontal="center" vertical="center" wrapText="1"/>
    </xf>
    <xf numFmtId="15" fontId="5" fillId="0" borderId="12" xfId="0" applyNumberFormat="1" applyFont="1" applyBorder="1" applyAlignment="1">
      <alignment horizontal="center" vertical="center" wrapText="1"/>
    </xf>
    <xf numFmtId="15" fontId="5" fillId="0" borderId="13" xfId="0" applyNumberFormat="1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38100</xdr:rowOff>
    </xdr:from>
    <xdr:to>
      <xdr:col>4</xdr:col>
      <xdr:colOff>405452</xdr:colOff>
      <xdr:row>9</xdr:row>
      <xdr:rowOff>142875</xdr:rowOff>
    </xdr:to>
    <xdr:pic>
      <xdr:nvPicPr>
        <xdr:cNvPr id="2" name="Picture 60">
          <a:extLst>
            <a:ext uri="{FF2B5EF4-FFF2-40B4-BE49-F238E27FC236}">
              <a16:creationId xmlns:a16="http://schemas.microsoft.com/office/drawing/2014/main" id="{1134A5AC-1AE1-44F1-AEB9-8A06774C9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2186627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655E-CC31-49ED-BD2A-115BAAEEEBDB}">
  <sheetPr>
    <pageSetUpPr fitToPage="1"/>
  </sheetPr>
  <dimension ref="A1:AV314"/>
  <sheetViews>
    <sheetView showGridLines="0" tabSelected="1" workbookViewId="0">
      <selection activeCell="B11" sqref="B11:P11"/>
    </sheetView>
  </sheetViews>
  <sheetFormatPr defaultRowHeight="14.4" x14ac:dyDescent="0.3"/>
  <cols>
    <col min="1" max="1" width="0.6640625" customWidth="1"/>
    <col min="10" max="10" width="8.44140625" customWidth="1"/>
    <col min="13" max="14" width="15.6640625" customWidth="1"/>
    <col min="15" max="15" width="7.109375" bestFit="1" customWidth="1"/>
    <col min="16" max="16" width="18.44140625" customWidth="1"/>
    <col min="17" max="26" width="7.44140625" customWidth="1"/>
    <col min="41" max="41" width="9.109375" hidden="1" customWidth="1"/>
  </cols>
  <sheetData>
    <row r="1" spans="1:48" ht="3" customHeight="1" thickBot="1" x14ac:dyDescent="0.35">
      <c r="A1" s="1"/>
      <c r="B1" s="1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4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5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8"/>
      <c r="P2" s="9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21" x14ac:dyDescent="0.3">
      <c r="A3" s="1"/>
      <c r="B3" s="10"/>
      <c r="C3" s="2"/>
      <c r="D3" s="2"/>
      <c r="E3" s="2"/>
      <c r="F3" s="110" t="s">
        <v>0</v>
      </c>
      <c r="G3" s="110"/>
      <c r="H3" s="110"/>
      <c r="I3" s="110"/>
      <c r="J3" s="110"/>
      <c r="K3" s="110"/>
      <c r="L3" s="110"/>
      <c r="M3" s="110"/>
      <c r="N3" s="110"/>
      <c r="O3" s="110"/>
      <c r="P3" s="11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">
      <c r="A4" s="1"/>
      <c r="B4" s="10"/>
      <c r="C4" s="11"/>
      <c r="D4" s="11"/>
      <c r="E4" s="11"/>
      <c r="F4" s="3"/>
      <c r="G4" s="3"/>
      <c r="H4" s="3"/>
      <c r="I4" s="3"/>
      <c r="J4" s="3"/>
      <c r="K4" s="3"/>
      <c r="L4" s="3"/>
      <c r="M4" s="3"/>
      <c r="N4" s="3"/>
      <c r="O4" s="12"/>
      <c r="P4" s="1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4"/>
      <c r="AT4" s="1"/>
      <c r="AU4" s="1"/>
      <c r="AV4" s="1"/>
    </row>
    <row r="5" spans="1:48" x14ac:dyDescent="0.3">
      <c r="A5" s="1"/>
      <c r="B5" s="10"/>
      <c r="C5" s="11"/>
      <c r="D5" s="11"/>
      <c r="E5" s="11"/>
      <c r="F5" s="15"/>
      <c r="G5" s="15"/>
      <c r="H5" s="16" t="s">
        <v>1</v>
      </c>
      <c r="I5" s="1"/>
      <c r="J5" s="15"/>
      <c r="K5" s="15"/>
      <c r="L5" s="1"/>
      <c r="M5" s="112"/>
      <c r="N5" s="112"/>
      <c r="O5" s="112"/>
      <c r="P5" s="13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8"/>
      <c r="AT5" s="1"/>
      <c r="AU5" s="1"/>
      <c r="AV5" s="1"/>
    </row>
    <row r="6" spans="1:48" x14ac:dyDescent="0.3">
      <c r="A6" s="1"/>
      <c r="B6" s="10"/>
      <c r="C6" s="11"/>
      <c r="D6" s="11"/>
      <c r="E6" s="11"/>
      <c r="F6" s="15"/>
      <c r="G6" s="15"/>
      <c r="H6" s="15"/>
      <c r="I6" s="15"/>
      <c r="J6" s="15"/>
      <c r="K6" s="15"/>
      <c r="L6" s="19"/>
      <c r="M6" s="3"/>
      <c r="N6" s="3"/>
      <c r="O6" s="12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">
      <c r="A7" s="1"/>
      <c r="B7" s="10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12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">
      <c r="A8" s="1"/>
      <c r="B8" s="10"/>
      <c r="C8" s="20"/>
      <c r="D8" s="20"/>
      <c r="E8" s="20"/>
      <c r="F8" s="3"/>
      <c r="G8" s="3"/>
      <c r="H8" s="21" t="s">
        <v>2</v>
      </c>
      <c r="I8" s="112"/>
      <c r="J8" s="112"/>
      <c r="K8" s="112"/>
      <c r="L8" s="3"/>
      <c r="M8" s="113" t="s">
        <v>3</v>
      </c>
      <c r="N8" s="113"/>
      <c r="O8" s="113"/>
      <c r="P8" s="22">
        <v>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">
      <c r="A9" s="1"/>
      <c r="B9" s="10"/>
      <c r="C9" s="20"/>
      <c r="D9" s="20"/>
      <c r="E9" s="20"/>
      <c r="F9" s="3"/>
      <c r="G9" s="3"/>
      <c r="H9" s="21"/>
      <c r="I9" s="3"/>
      <c r="J9" s="3"/>
      <c r="K9" s="3"/>
      <c r="L9" s="3"/>
      <c r="M9" s="21"/>
      <c r="N9" s="21"/>
      <c r="O9" s="21"/>
      <c r="P9" s="2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ht="15" thickBot="1" x14ac:dyDescent="0.35">
      <c r="A10" s="1"/>
      <c r="B10" s="24"/>
      <c r="C10" s="25"/>
      <c r="D10" s="25"/>
      <c r="E10" s="25"/>
      <c r="F10" s="26"/>
      <c r="G10" s="26"/>
      <c r="H10" s="26"/>
      <c r="I10" s="26"/>
      <c r="J10" s="26"/>
      <c r="K10" s="26"/>
      <c r="L10" s="26"/>
      <c r="M10" s="104" t="s">
        <v>19</v>
      </c>
      <c r="N10" s="104"/>
      <c r="O10" s="104"/>
      <c r="P10" s="10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28"/>
      <c r="AL10" s="3"/>
      <c r="AM10" s="1"/>
      <c r="AN10" s="3"/>
      <c r="AO10" s="72">
        <v>1</v>
      </c>
      <c r="AP10" s="81"/>
      <c r="AQ10" s="1"/>
      <c r="AR10" s="1"/>
      <c r="AS10" s="18"/>
      <c r="AT10" s="18"/>
      <c r="AU10" s="1"/>
      <c r="AV10" s="1"/>
    </row>
    <row r="11" spans="1:48" ht="15" thickBot="1" x14ac:dyDescent="0.35">
      <c r="A11" s="1"/>
      <c r="B11" s="114" t="s">
        <v>4</v>
      </c>
      <c r="C11" s="114"/>
      <c r="D11" s="114"/>
      <c r="E11" s="114"/>
      <c r="F11" s="115"/>
      <c r="G11" s="115"/>
      <c r="H11" s="115"/>
      <c r="I11" s="115"/>
      <c r="J11" s="115"/>
      <c r="K11" s="114"/>
      <c r="L11" s="114"/>
      <c r="M11" s="115"/>
      <c r="N11" s="114"/>
      <c r="O11" s="114"/>
      <c r="P11" s="11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28"/>
      <c r="AL11" s="3"/>
      <c r="AM11" s="1"/>
      <c r="AN11" s="3"/>
      <c r="AO11" s="72">
        <v>3</v>
      </c>
      <c r="AP11" s="81"/>
      <c r="AQ11" s="1"/>
      <c r="AR11" s="1"/>
      <c r="AS11" s="18"/>
      <c r="AT11" s="18"/>
      <c r="AU11" s="1"/>
      <c r="AV11" s="1"/>
    </row>
    <row r="12" spans="1:48" ht="15" thickBot="1" x14ac:dyDescent="0.35">
      <c r="A12" s="1"/>
      <c r="B12" s="116" t="s">
        <v>5</v>
      </c>
      <c r="C12" s="116"/>
      <c r="D12" s="116" t="s">
        <v>6</v>
      </c>
      <c r="E12" s="118"/>
      <c r="F12" s="120" t="s">
        <v>7</v>
      </c>
      <c r="G12" s="121"/>
      <c r="H12" s="121"/>
      <c r="I12" s="121"/>
      <c r="J12" s="122"/>
      <c r="K12" s="125" t="s">
        <v>8</v>
      </c>
      <c r="L12" s="126"/>
      <c r="M12" s="29"/>
      <c r="N12" s="29"/>
      <c r="O12" s="29"/>
      <c r="P12" s="30" t="s">
        <v>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28"/>
      <c r="AL12" s="3"/>
      <c r="AM12" s="1"/>
      <c r="AN12" s="3"/>
      <c r="AO12" s="72">
        <v>4</v>
      </c>
      <c r="AP12" s="81"/>
      <c r="AQ12" s="1"/>
      <c r="AR12" s="31"/>
      <c r="AS12" s="18"/>
      <c r="AT12" s="18"/>
      <c r="AU12" s="1"/>
      <c r="AV12" s="1"/>
    </row>
    <row r="13" spans="1:48" ht="15" thickBot="1" x14ac:dyDescent="0.35">
      <c r="A13" s="32"/>
      <c r="B13" s="116"/>
      <c r="C13" s="116"/>
      <c r="D13" s="116"/>
      <c r="E13" s="118"/>
      <c r="F13" s="123"/>
      <c r="G13" s="90"/>
      <c r="H13" s="90"/>
      <c r="I13" s="90"/>
      <c r="J13" s="124"/>
      <c r="K13" s="125"/>
      <c r="L13" s="126"/>
      <c r="M13" s="33"/>
      <c r="N13" s="33"/>
      <c r="O13" s="33"/>
      <c r="P13" s="33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5"/>
      <c r="AO13" s="73">
        <v>6</v>
      </c>
      <c r="AP13" s="81"/>
      <c r="AQ13" s="32"/>
      <c r="AR13" s="1"/>
      <c r="AS13" s="18"/>
      <c r="AT13" s="18"/>
      <c r="AU13" s="32"/>
      <c r="AV13" s="32"/>
    </row>
    <row r="14" spans="1:48" ht="15" thickBot="1" x14ac:dyDescent="0.35">
      <c r="A14" s="32"/>
      <c r="B14" s="116"/>
      <c r="C14" s="116"/>
      <c r="D14" s="116"/>
      <c r="E14" s="118"/>
      <c r="F14" s="123"/>
      <c r="G14" s="90"/>
      <c r="H14" s="90"/>
      <c r="I14" s="90"/>
      <c r="J14" s="124"/>
      <c r="K14" s="125"/>
      <c r="L14" s="126"/>
      <c r="M14" s="36" t="s">
        <v>10</v>
      </c>
      <c r="N14" s="36" t="s">
        <v>11</v>
      </c>
      <c r="O14" s="36" t="s">
        <v>12</v>
      </c>
      <c r="P14" s="37" t="s">
        <v>13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"/>
      <c r="AO14" s="72">
        <v>7</v>
      </c>
      <c r="AP14" s="81"/>
      <c r="AQ14" s="32"/>
      <c r="AR14" s="38"/>
      <c r="AS14" s="39"/>
      <c r="AT14" s="18"/>
      <c r="AU14" s="32"/>
      <c r="AV14" s="32"/>
    </row>
    <row r="15" spans="1:48" ht="15" thickBot="1" x14ac:dyDescent="0.35">
      <c r="A15" s="1"/>
      <c r="B15" s="116"/>
      <c r="C15" s="116"/>
      <c r="D15" s="116"/>
      <c r="E15" s="118"/>
      <c r="F15" s="123"/>
      <c r="G15" s="90"/>
      <c r="H15" s="90"/>
      <c r="I15" s="90"/>
      <c r="J15" s="124"/>
      <c r="K15" s="125"/>
      <c r="L15" s="126"/>
      <c r="M15" s="128" t="s">
        <v>14</v>
      </c>
      <c r="N15" s="128" t="s">
        <v>14</v>
      </c>
      <c r="O15" s="128" t="s">
        <v>15</v>
      </c>
      <c r="P15" s="129" t="s">
        <v>16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3"/>
      <c r="AO15" s="72">
        <v>8</v>
      </c>
      <c r="AP15" s="81"/>
      <c r="AQ15" s="1"/>
      <c r="AR15" s="1"/>
      <c r="AS15" s="18"/>
      <c r="AT15" s="18"/>
      <c r="AU15" s="1"/>
      <c r="AV15" s="1"/>
    </row>
    <row r="16" spans="1:48" ht="15" thickBot="1" x14ac:dyDescent="0.35">
      <c r="A16" s="1"/>
      <c r="B16" s="117"/>
      <c r="C16" s="117"/>
      <c r="D16" s="117"/>
      <c r="E16" s="119"/>
      <c r="F16" s="123"/>
      <c r="G16" s="90"/>
      <c r="H16" s="90"/>
      <c r="I16" s="90"/>
      <c r="J16" s="124"/>
      <c r="K16" s="92"/>
      <c r="L16" s="127"/>
      <c r="M16" s="128"/>
      <c r="N16" s="128"/>
      <c r="O16" s="128"/>
      <c r="P16" s="129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3"/>
      <c r="AO16" s="72">
        <v>10</v>
      </c>
      <c r="AP16" s="81"/>
      <c r="AQ16" s="1"/>
      <c r="AR16" s="1"/>
      <c r="AS16" s="18"/>
      <c r="AT16" s="18"/>
      <c r="AU16" s="1"/>
      <c r="AV16" s="1"/>
    </row>
    <row r="17" spans="1:48" x14ac:dyDescent="0.3">
      <c r="A17" s="1"/>
      <c r="B17" s="100"/>
      <c r="C17" s="101"/>
      <c r="D17" s="101"/>
      <c r="E17" s="101"/>
      <c r="F17" s="102"/>
      <c r="G17" s="102"/>
      <c r="H17" s="102"/>
      <c r="I17" s="102"/>
      <c r="J17" s="102"/>
      <c r="K17" s="103">
        <f t="shared" ref="K17:K53" si="0">+P$8</f>
        <v>1</v>
      </c>
      <c r="L17" s="103"/>
      <c r="M17" s="74"/>
      <c r="N17" s="74"/>
      <c r="O17" s="75">
        <f t="shared" ref="O17:O53" si="1">N17-M17</f>
        <v>0</v>
      </c>
      <c r="P17" s="76">
        <f>IF(ISBLANK(D17),0,O17*0.73)</f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3"/>
      <c r="AO17" s="72">
        <v>11</v>
      </c>
      <c r="AP17" s="81"/>
      <c r="AQ17" s="1"/>
      <c r="AR17" s="1"/>
      <c r="AS17" s="18"/>
      <c r="AT17" s="18"/>
      <c r="AU17" s="1"/>
      <c r="AV17" s="1"/>
    </row>
    <row r="18" spans="1:48" x14ac:dyDescent="0.3">
      <c r="A18" s="1"/>
      <c r="B18" s="82"/>
      <c r="C18" s="83"/>
      <c r="D18" s="83"/>
      <c r="E18" s="83"/>
      <c r="F18" s="84"/>
      <c r="G18" s="84"/>
      <c r="H18" s="84"/>
      <c r="I18" s="84"/>
      <c r="J18" s="84"/>
      <c r="K18" s="85">
        <f t="shared" si="0"/>
        <v>1</v>
      </c>
      <c r="L18" s="85"/>
      <c r="M18" s="40"/>
      <c r="N18" s="40"/>
      <c r="O18" s="41">
        <f t="shared" si="1"/>
        <v>0</v>
      </c>
      <c r="P18" s="77">
        <f>IF(ISBLANK(D18),0,O18*0.73)</f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3"/>
      <c r="AO18" s="72">
        <v>12</v>
      </c>
      <c r="AP18" s="81"/>
      <c r="AQ18" s="1"/>
      <c r="AR18" s="1"/>
      <c r="AS18" s="18"/>
      <c r="AT18" s="18"/>
      <c r="AU18" s="1"/>
      <c r="AV18" s="1"/>
    </row>
    <row r="19" spans="1:48" x14ac:dyDescent="0.3">
      <c r="A19" s="1"/>
      <c r="B19" s="82"/>
      <c r="C19" s="83"/>
      <c r="D19" s="83"/>
      <c r="E19" s="83"/>
      <c r="F19" s="84"/>
      <c r="G19" s="84"/>
      <c r="H19" s="84"/>
      <c r="I19" s="84"/>
      <c r="J19" s="84"/>
      <c r="K19" s="85">
        <f t="shared" si="0"/>
        <v>1</v>
      </c>
      <c r="L19" s="85"/>
      <c r="M19" s="40"/>
      <c r="N19" s="40"/>
      <c r="O19" s="41">
        <f t="shared" si="1"/>
        <v>0</v>
      </c>
      <c r="P19" s="77">
        <f>IF(ISBLANK(D19),0,O19*0.73)</f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3"/>
      <c r="AO19" s="72">
        <v>13</v>
      </c>
      <c r="AP19" s="81"/>
      <c r="AQ19" s="1"/>
      <c r="AR19" s="1"/>
      <c r="AS19" s="18"/>
      <c r="AT19" s="18"/>
      <c r="AU19" s="1"/>
      <c r="AV19" s="1"/>
    </row>
    <row r="20" spans="1:48" x14ac:dyDescent="0.3">
      <c r="A20" s="1"/>
      <c r="B20" s="82"/>
      <c r="C20" s="83"/>
      <c r="D20" s="83"/>
      <c r="E20" s="83"/>
      <c r="F20" s="84"/>
      <c r="G20" s="84"/>
      <c r="H20" s="84"/>
      <c r="I20" s="84"/>
      <c r="J20" s="84"/>
      <c r="K20" s="85">
        <f t="shared" si="0"/>
        <v>1</v>
      </c>
      <c r="L20" s="85"/>
      <c r="M20" s="40"/>
      <c r="N20" s="40"/>
      <c r="O20" s="41">
        <f t="shared" si="1"/>
        <v>0</v>
      </c>
      <c r="P20" s="77">
        <f>IF(ISBLANK(D20),0,O20*0.73)</f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3"/>
      <c r="AO20" s="72">
        <v>15</v>
      </c>
      <c r="AP20" s="81"/>
      <c r="AQ20" s="1"/>
      <c r="AR20" s="1"/>
      <c r="AS20" s="18"/>
      <c r="AT20" s="18"/>
      <c r="AU20" s="1"/>
      <c r="AV20" s="1"/>
    </row>
    <row r="21" spans="1:48" x14ac:dyDescent="0.3">
      <c r="A21" s="1"/>
      <c r="B21" s="82"/>
      <c r="C21" s="83"/>
      <c r="D21" s="83"/>
      <c r="E21" s="83"/>
      <c r="F21" s="84"/>
      <c r="G21" s="84"/>
      <c r="H21" s="84"/>
      <c r="I21" s="84"/>
      <c r="J21" s="84"/>
      <c r="K21" s="85">
        <f t="shared" si="0"/>
        <v>1</v>
      </c>
      <c r="L21" s="85"/>
      <c r="M21" s="40"/>
      <c r="N21" s="40"/>
      <c r="O21" s="41">
        <f t="shared" si="1"/>
        <v>0</v>
      </c>
      <c r="P21" s="77">
        <f t="shared" ref="P21:P53" si="2">IF(ISBLANK(D21),0,O21*0.73)</f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3"/>
      <c r="AO21" s="72">
        <v>16</v>
      </c>
      <c r="AP21" s="81"/>
      <c r="AQ21" s="1"/>
      <c r="AR21" s="1"/>
      <c r="AS21" s="18"/>
      <c r="AT21" s="18"/>
      <c r="AU21" s="1"/>
      <c r="AV21" s="1"/>
    </row>
    <row r="22" spans="1:48" x14ac:dyDescent="0.3">
      <c r="A22" s="1"/>
      <c r="B22" s="82"/>
      <c r="C22" s="83"/>
      <c r="D22" s="83"/>
      <c r="E22" s="83"/>
      <c r="F22" s="84"/>
      <c r="G22" s="84"/>
      <c r="H22" s="84"/>
      <c r="I22" s="84"/>
      <c r="J22" s="84"/>
      <c r="K22" s="85">
        <f t="shared" si="0"/>
        <v>1</v>
      </c>
      <c r="L22" s="85"/>
      <c r="M22" s="40"/>
      <c r="N22" s="40"/>
      <c r="O22" s="41">
        <f t="shared" si="1"/>
        <v>0</v>
      </c>
      <c r="P22" s="77">
        <f t="shared" si="2"/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3"/>
      <c r="AO22" s="72">
        <v>17</v>
      </c>
      <c r="AP22" s="81"/>
      <c r="AQ22" s="1"/>
      <c r="AR22" s="1"/>
      <c r="AS22" s="18"/>
      <c r="AT22" s="18"/>
      <c r="AU22" s="1"/>
      <c r="AV22" s="1"/>
    </row>
    <row r="23" spans="1:48" x14ac:dyDescent="0.3">
      <c r="A23" s="1"/>
      <c r="B23" s="82"/>
      <c r="C23" s="83"/>
      <c r="D23" s="83"/>
      <c r="E23" s="83"/>
      <c r="F23" s="84"/>
      <c r="G23" s="84"/>
      <c r="H23" s="84"/>
      <c r="I23" s="84"/>
      <c r="J23" s="84"/>
      <c r="K23" s="85">
        <f t="shared" si="0"/>
        <v>1</v>
      </c>
      <c r="L23" s="85"/>
      <c r="M23" s="40"/>
      <c r="N23" s="40"/>
      <c r="O23" s="41">
        <f>N23-M23</f>
        <v>0</v>
      </c>
      <c r="P23" s="77">
        <f t="shared" si="2"/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3"/>
      <c r="AO23" s="72">
        <v>18</v>
      </c>
      <c r="AP23" s="81"/>
      <c r="AQ23" s="1"/>
      <c r="AR23" s="1"/>
      <c r="AS23" s="18"/>
      <c r="AT23" s="18"/>
      <c r="AU23" s="1"/>
      <c r="AV23" s="1"/>
    </row>
    <row r="24" spans="1:48" x14ac:dyDescent="0.3">
      <c r="A24" s="1"/>
      <c r="B24" s="82"/>
      <c r="C24" s="83"/>
      <c r="D24" s="83"/>
      <c r="E24" s="83"/>
      <c r="F24" s="84"/>
      <c r="G24" s="84"/>
      <c r="H24" s="84"/>
      <c r="I24" s="84"/>
      <c r="J24" s="84"/>
      <c r="K24" s="85">
        <f t="shared" si="0"/>
        <v>1</v>
      </c>
      <c r="L24" s="85"/>
      <c r="M24" s="40"/>
      <c r="N24" s="40"/>
      <c r="O24" s="41">
        <f t="shared" si="1"/>
        <v>0</v>
      </c>
      <c r="P24" s="77">
        <f t="shared" si="2"/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3"/>
      <c r="AO24" s="72">
        <v>19</v>
      </c>
      <c r="AP24" s="81"/>
      <c r="AQ24" s="1"/>
      <c r="AR24" s="1"/>
      <c r="AS24" s="18"/>
      <c r="AT24" s="18"/>
      <c r="AU24" s="1"/>
      <c r="AV24" s="1"/>
    </row>
    <row r="25" spans="1:48" x14ac:dyDescent="0.3">
      <c r="A25" s="1"/>
      <c r="B25" s="82"/>
      <c r="C25" s="83"/>
      <c r="D25" s="83"/>
      <c r="E25" s="83"/>
      <c r="F25" s="84"/>
      <c r="G25" s="84"/>
      <c r="H25" s="84"/>
      <c r="I25" s="84"/>
      <c r="J25" s="84"/>
      <c r="K25" s="85">
        <f t="shared" si="0"/>
        <v>1</v>
      </c>
      <c r="L25" s="85"/>
      <c r="M25" s="40"/>
      <c r="N25" s="40"/>
      <c r="O25" s="41">
        <f t="shared" si="1"/>
        <v>0</v>
      </c>
      <c r="P25" s="77">
        <f t="shared" si="2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3"/>
      <c r="AO25" s="72">
        <v>20</v>
      </c>
      <c r="AP25" s="81"/>
      <c r="AQ25" s="1"/>
      <c r="AR25" s="1"/>
      <c r="AS25" s="18"/>
      <c r="AT25" s="18"/>
      <c r="AU25" s="1"/>
      <c r="AV25" s="1"/>
    </row>
    <row r="26" spans="1:48" x14ac:dyDescent="0.3">
      <c r="A26" s="1"/>
      <c r="B26" s="82"/>
      <c r="C26" s="83"/>
      <c r="D26" s="83"/>
      <c r="E26" s="83"/>
      <c r="F26" s="84"/>
      <c r="G26" s="84"/>
      <c r="H26" s="84"/>
      <c r="I26" s="84"/>
      <c r="J26" s="84"/>
      <c r="K26" s="85">
        <f t="shared" si="0"/>
        <v>1</v>
      </c>
      <c r="L26" s="85"/>
      <c r="M26" s="40"/>
      <c r="N26" s="40"/>
      <c r="O26" s="41">
        <f t="shared" si="1"/>
        <v>0</v>
      </c>
      <c r="P26" s="77">
        <f t="shared" si="2"/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3"/>
      <c r="AO26" s="72">
        <v>24</v>
      </c>
      <c r="AP26" s="81"/>
      <c r="AQ26" s="1"/>
      <c r="AR26" s="1"/>
      <c r="AS26" s="18"/>
      <c r="AT26" s="18"/>
      <c r="AU26" s="1"/>
      <c r="AV26" s="1"/>
    </row>
    <row r="27" spans="1:48" x14ac:dyDescent="0.3">
      <c r="A27" s="1"/>
      <c r="B27" s="82"/>
      <c r="C27" s="83"/>
      <c r="D27" s="83"/>
      <c r="E27" s="83"/>
      <c r="F27" s="84"/>
      <c r="G27" s="84"/>
      <c r="H27" s="84"/>
      <c r="I27" s="84"/>
      <c r="J27" s="84"/>
      <c r="K27" s="85">
        <f t="shared" si="0"/>
        <v>1</v>
      </c>
      <c r="L27" s="85"/>
      <c r="M27" s="40"/>
      <c r="N27" s="40"/>
      <c r="O27" s="41">
        <f t="shared" si="1"/>
        <v>0</v>
      </c>
      <c r="P27" s="77">
        <f t="shared" si="2"/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3"/>
      <c r="AO27" s="72">
        <v>25</v>
      </c>
      <c r="AP27" s="81"/>
      <c r="AQ27" s="1"/>
      <c r="AR27" s="1"/>
      <c r="AS27" s="18"/>
      <c r="AT27" s="18"/>
      <c r="AU27" s="1"/>
      <c r="AV27" s="1"/>
    </row>
    <row r="28" spans="1:48" x14ac:dyDescent="0.3">
      <c r="A28" s="1"/>
      <c r="B28" s="82"/>
      <c r="C28" s="83"/>
      <c r="D28" s="83"/>
      <c r="E28" s="83"/>
      <c r="F28" s="84"/>
      <c r="G28" s="84"/>
      <c r="H28" s="84"/>
      <c r="I28" s="84"/>
      <c r="J28" s="84"/>
      <c r="K28" s="85">
        <f t="shared" si="0"/>
        <v>1</v>
      </c>
      <c r="L28" s="85"/>
      <c r="M28" s="40"/>
      <c r="N28" s="40"/>
      <c r="O28" s="41">
        <f t="shared" si="1"/>
        <v>0</v>
      </c>
      <c r="P28" s="77">
        <f t="shared" si="2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3"/>
      <c r="AO28" s="72">
        <v>27</v>
      </c>
      <c r="AP28" s="81"/>
      <c r="AQ28" s="1"/>
      <c r="AR28" s="1"/>
      <c r="AS28" s="18"/>
      <c r="AT28" s="18"/>
      <c r="AU28" s="1"/>
      <c r="AV28" s="1"/>
    </row>
    <row r="29" spans="1:48" x14ac:dyDescent="0.3">
      <c r="A29" s="1"/>
      <c r="B29" s="82"/>
      <c r="C29" s="83"/>
      <c r="D29" s="83"/>
      <c r="E29" s="83"/>
      <c r="F29" s="84"/>
      <c r="G29" s="84"/>
      <c r="H29" s="84"/>
      <c r="I29" s="84"/>
      <c r="J29" s="84"/>
      <c r="K29" s="85">
        <f t="shared" si="0"/>
        <v>1</v>
      </c>
      <c r="L29" s="85"/>
      <c r="M29" s="40"/>
      <c r="N29" s="40"/>
      <c r="O29" s="41">
        <f t="shared" si="1"/>
        <v>0</v>
      </c>
      <c r="P29" s="77">
        <f t="shared" si="2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3"/>
      <c r="AO29" s="72">
        <v>28</v>
      </c>
      <c r="AP29" s="81"/>
      <c r="AQ29" s="1"/>
      <c r="AR29" s="1"/>
      <c r="AS29" s="18"/>
      <c r="AT29" s="18"/>
      <c r="AU29" s="1"/>
      <c r="AV29" s="1"/>
    </row>
    <row r="30" spans="1:48" x14ac:dyDescent="0.3">
      <c r="A30" s="1"/>
      <c r="B30" s="82"/>
      <c r="C30" s="83"/>
      <c r="D30" s="83"/>
      <c r="E30" s="83"/>
      <c r="F30" s="84"/>
      <c r="G30" s="84"/>
      <c r="H30" s="84"/>
      <c r="I30" s="84"/>
      <c r="J30" s="84"/>
      <c r="K30" s="85">
        <f t="shared" si="0"/>
        <v>1</v>
      </c>
      <c r="L30" s="85"/>
      <c r="M30" s="40"/>
      <c r="N30" s="40"/>
      <c r="O30" s="41">
        <f t="shared" si="1"/>
        <v>0</v>
      </c>
      <c r="P30" s="77">
        <f t="shared" si="2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3"/>
      <c r="AO30" s="72">
        <v>29</v>
      </c>
      <c r="AP30" s="81"/>
      <c r="AQ30" s="1"/>
      <c r="AR30" s="1"/>
      <c r="AS30" s="18"/>
      <c r="AT30" s="18"/>
      <c r="AU30" s="1"/>
      <c r="AV30" s="1"/>
    </row>
    <row r="31" spans="1:48" x14ac:dyDescent="0.3">
      <c r="A31" s="1"/>
      <c r="B31" s="82"/>
      <c r="C31" s="83"/>
      <c r="D31" s="83"/>
      <c r="E31" s="83"/>
      <c r="F31" s="84"/>
      <c r="G31" s="84"/>
      <c r="H31" s="84"/>
      <c r="I31" s="84"/>
      <c r="J31" s="84"/>
      <c r="K31" s="85">
        <f t="shared" si="0"/>
        <v>1</v>
      </c>
      <c r="L31" s="85"/>
      <c r="M31" s="40"/>
      <c r="N31" s="40"/>
      <c r="O31" s="41">
        <f t="shared" si="1"/>
        <v>0</v>
      </c>
      <c r="P31" s="77">
        <f t="shared" si="2"/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3"/>
      <c r="AO31" s="72">
        <v>30</v>
      </c>
      <c r="AP31" s="81"/>
      <c r="AQ31" s="1"/>
      <c r="AR31" s="1"/>
      <c r="AS31" s="18"/>
      <c r="AT31" s="18"/>
      <c r="AU31" s="1"/>
      <c r="AV31" s="1"/>
    </row>
    <row r="32" spans="1:48" x14ac:dyDescent="0.3">
      <c r="A32" s="1"/>
      <c r="B32" s="82"/>
      <c r="C32" s="83"/>
      <c r="D32" s="83"/>
      <c r="E32" s="83"/>
      <c r="F32" s="84"/>
      <c r="G32" s="84"/>
      <c r="H32" s="84"/>
      <c r="I32" s="84"/>
      <c r="J32" s="84"/>
      <c r="K32" s="85">
        <f t="shared" si="0"/>
        <v>1</v>
      </c>
      <c r="L32" s="85"/>
      <c r="M32" s="40"/>
      <c r="N32" s="40"/>
      <c r="O32" s="41">
        <f t="shared" si="1"/>
        <v>0</v>
      </c>
      <c r="P32" s="77">
        <f t="shared" si="2"/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3"/>
      <c r="AO32" s="72">
        <v>32</v>
      </c>
      <c r="AP32" s="81"/>
      <c r="AQ32" s="1"/>
      <c r="AR32" s="1"/>
      <c r="AS32" s="18"/>
      <c r="AT32" s="18"/>
      <c r="AU32" s="1"/>
      <c r="AV32" s="1"/>
    </row>
    <row r="33" spans="1:48" x14ac:dyDescent="0.3">
      <c r="A33" s="1"/>
      <c r="B33" s="82"/>
      <c r="C33" s="83"/>
      <c r="D33" s="83"/>
      <c r="E33" s="83"/>
      <c r="F33" s="84"/>
      <c r="G33" s="84"/>
      <c r="H33" s="84"/>
      <c r="I33" s="84"/>
      <c r="J33" s="84"/>
      <c r="K33" s="85">
        <f t="shared" si="0"/>
        <v>1</v>
      </c>
      <c r="L33" s="85"/>
      <c r="M33" s="40"/>
      <c r="N33" s="40"/>
      <c r="O33" s="41">
        <f t="shared" si="1"/>
        <v>0</v>
      </c>
      <c r="P33" s="77">
        <f t="shared" si="2"/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3"/>
      <c r="AO33" s="72">
        <v>33</v>
      </c>
      <c r="AP33" s="81"/>
      <c r="AQ33" s="1"/>
      <c r="AR33" s="1"/>
      <c r="AS33" s="18"/>
      <c r="AT33" s="18"/>
      <c r="AU33" s="1"/>
      <c r="AV33" s="1"/>
    </row>
    <row r="34" spans="1:48" x14ac:dyDescent="0.3">
      <c r="A34" s="1"/>
      <c r="B34" s="82"/>
      <c r="C34" s="83"/>
      <c r="D34" s="83"/>
      <c r="E34" s="83"/>
      <c r="F34" s="84"/>
      <c r="G34" s="84"/>
      <c r="H34" s="84"/>
      <c r="I34" s="84"/>
      <c r="J34" s="84"/>
      <c r="K34" s="85">
        <f t="shared" si="0"/>
        <v>1</v>
      </c>
      <c r="L34" s="85"/>
      <c r="M34" s="40"/>
      <c r="N34" s="40"/>
      <c r="O34" s="41">
        <f t="shared" si="1"/>
        <v>0</v>
      </c>
      <c r="P34" s="77">
        <f t="shared" si="2"/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3"/>
      <c r="AO34" s="72">
        <v>34</v>
      </c>
      <c r="AP34" s="81"/>
      <c r="AQ34" s="1"/>
      <c r="AR34" s="1"/>
      <c r="AS34" s="18"/>
      <c r="AT34" s="18"/>
      <c r="AU34" s="1"/>
      <c r="AV34" s="1"/>
    </row>
    <row r="35" spans="1:48" x14ac:dyDescent="0.3">
      <c r="A35" s="1"/>
      <c r="B35" s="82"/>
      <c r="C35" s="83"/>
      <c r="D35" s="83"/>
      <c r="E35" s="83"/>
      <c r="F35" s="84"/>
      <c r="G35" s="84"/>
      <c r="H35" s="84"/>
      <c r="I35" s="84"/>
      <c r="J35" s="84"/>
      <c r="K35" s="85">
        <f t="shared" si="0"/>
        <v>1</v>
      </c>
      <c r="L35" s="85"/>
      <c r="M35" s="40"/>
      <c r="N35" s="40"/>
      <c r="O35" s="41">
        <f t="shared" si="1"/>
        <v>0</v>
      </c>
      <c r="P35" s="77">
        <f t="shared" si="2"/>
        <v>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3"/>
      <c r="AO35" s="72">
        <v>35</v>
      </c>
      <c r="AP35" s="81"/>
      <c r="AQ35" s="1"/>
      <c r="AR35" s="1"/>
      <c r="AS35" s="18"/>
      <c r="AT35" s="18"/>
      <c r="AU35" s="1"/>
      <c r="AV35" s="1"/>
    </row>
    <row r="36" spans="1:48" x14ac:dyDescent="0.3">
      <c r="A36" s="1"/>
      <c r="B36" s="82"/>
      <c r="C36" s="83"/>
      <c r="D36" s="83"/>
      <c r="E36" s="83"/>
      <c r="F36" s="84"/>
      <c r="G36" s="84"/>
      <c r="H36" s="84"/>
      <c r="I36" s="84"/>
      <c r="J36" s="84"/>
      <c r="K36" s="85">
        <f t="shared" si="0"/>
        <v>1</v>
      </c>
      <c r="L36" s="85"/>
      <c r="M36" s="40"/>
      <c r="N36" s="40"/>
      <c r="O36" s="41">
        <f t="shared" si="1"/>
        <v>0</v>
      </c>
      <c r="P36" s="77">
        <f t="shared" si="2"/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3"/>
      <c r="AO36" s="72">
        <v>36</v>
      </c>
      <c r="AP36" s="81"/>
      <c r="AQ36" s="1"/>
      <c r="AR36" s="1"/>
      <c r="AS36" s="18"/>
      <c r="AT36" s="18"/>
      <c r="AU36" s="1"/>
      <c r="AV36" s="1"/>
    </row>
    <row r="37" spans="1:48" x14ac:dyDescent="0.3">
      <c r="A37" s="1"/>
      <c r="B37" s="82"/>
      <c r="C37" s="83"/>
      <c r="D37" s="83"/>
      <c r="E37" s="83"/>
      <c r="F37" s="84"/>
      <c r="G37" s="84"/>
      <c r="H37" s="84"/>
      <c r="I37" s="84"/>
      <c r="J37" s="84"/>
      <c r="K37" s="85">
        <f t="shared" si="0"/>
        <v>1</v>
      </c>
      <c r="L37" s="85"/>
      <c r="M37" s="40"/>
      <c r="N37" s="40"/>
      <c r="O37" s="41">
        <f t="shared" si="1"/>
        <v>0</v>
      </c>
      <c r="P37" s="77">
        <f t="shared" si="2"/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3"/>
      <c r="AO37" s="72">
        <v>37</v>
      </c>
      <c r="AP37" s="81"/>
      <c r="AQ37" s="1"/>
      <c r="AR37" s="1"/>
      <c r="AS37" s="18"/>
      <c r="AT37" s="18"/>
      <c r="AU37" s="1"/>
      <c r="AV37" s="1"/>
    </row>
    <row r="38" spans="1:48" x14ac:dyDescent="0.3">
      <c r="A38" s="1"/>
      <c r="B38" s="82"/>
      <c r="C38" s="83"/>
      <c r="D38" s="83"/>
      <c r="E38" s="83"/>
      <c r="F38" s="84"/>
      <c r="G38" s="84"/>
      <c r="H38" s="84"/>
      <c r="I38" s="84"/>
      <c r="J38" s="84"/>
      <c r="K38" s="85">
        <f t="shared" si="0"/>
        <v>1</v>
      </c>
      <c r="L38" s="85"/>
      <c r="M38" s="40"/>
      <c r="N38" s="40"/>
      <c r="O38" s="41">
        <f t="shared" si="1"/>
        <v>0</v>
      </c>
      <c r="P38" s="77">
        <f t="shared" si="2"/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3"/>
      <c r="AO38" s="72">
        <v>38</v>
      </c>
      <c r="AP38" s="81"/>
      <c r="AQ38" s="1"/>
      <c r="AR38" s="1"/>
      <c r="AS38" s="18"/>
      <c r="AT38" s="18"/>
      <c r="AU38" s="1"/>
      <c r="AV38" s="1"/>
    </row>
    <row r="39" spans="1:48" x14ac:dyDescent="0.3">
      <c r="A39" s="1"/>
      <c r="B39" s="82"/>
      <c r="C39" s="83"/>
      <c r="D39" s="83"/>
      <c r="E39" s="83"/>
      <c r="F39" s="84"/>
      <c r="G39" s="84"/>
      <c r="H39" s="84"/>
      <c r="I39" s="84"/>
      <c r="J39" s="84"/>
      <c r="K39" s="85">
        <f t="shared" si="0"/>
        <v>1</v>
      </c>
      <c r="L39" s="85"/>
      <c r="M39" s="40"/>
      <c r="N39" s="40"/>
      <c r="O39" s="41">
        <f t="shared" si="1"/>
        <v>0</v>
      </c>
      <c r="P39" s="77">
        <f t="shared" si="2"/>
        <v>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3"/>
      <c r="AO39" s="72">
        <v>39</v>
      </c>
      <c r="AP39" s="81"/>
      <c r="AQ39" s="1"/>
      <c r="AR39" s="1"/>
      <c r="AS39" s="18"/>
      <c r="AT39" s="18"/>
      <c r="AU39" s="1"/>
      <c r="AV39" s="1"/>
    </row>
    <row r="40" spans="1:48" x14ac:dyDescent="0.3">
      <c r="A40" s="1"/>
      <c r="B40" s="82"/>
      <c r="C40" s="83"/>
      <c r="D40" s="83"/>
      <c r="E40" s="83"/>
      <c r="F40" s="84"/>
      <c r="G40" s="84"/>
      <c r="H40" s="84"/>
      <c r="I40" s="84"/>
      <c r="J40" s="84"/>
      <c r="K40" s="85">
        <f t="shared" si="0"/>
        <v>1</v>
      </c>
      <c r="L40" s="85"/>
      <c r="M40" s="40"/>
      <c r="N40" s="40"/>
      <c r="O40" s="41">
        <f t="shared" si="1"/>
        <v>0</v>
      </c>
      <c r="P40" s="77">
        <f t="shared" si="2"/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3"/>
      <c r="AO40" s="72">
        <v>40</v>
      </c>
      <c r="AP40" s="81"/>
      <c r="AQ40" s="1"/>
      <c r="AR40" s="1"/>
      <c r="AS40" s="18"/>
      <c r="AT40" s="18"/>
      <c r="AU40" s="1"/>
      <c r="AV40" s="1"/>
    </row>
    <row r="41" spans="1:48" x14ac:dyDescent="0.3">
      <c r="A41" s="1"/>
      <c r="B41" s="82"/>
      <c r="C41" s="83"/>
      <c r="D41" s="83"/>
      <c r="E41" s="83"/>
      <c r="F41" s="84"/>
      <c r="G41" s="84"/>
      <c r="H41" s="84"/>
      <c r="I41" s="84"/>
      <c r="J41" s="84"/>
      <c r="K41" s="85">
        <f t="shared" si="0"/>
        <v>1</v>
      </c>
      <c r="L41" s="85"/>
      <c r="M41" s="40"/>
      <c r="N41" s="40"/>
      <c r="O41" s="41">
        <f t="shared" si="1"/>
        <v>0</v>
      </c>
      <c r="P41" s="77">
        <f t="shared" si="2"/>
        <v>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3"/>
      <c r="AO41" s="72">
        <v>41</v>
      </c>
      <c r="AP41" s="81"/>
      <c r="AQ41" s="1"/>
      <c r="AR41" s="1"/>
      <c r="AS41" s="18"/>
      <c r="AT41" s="18"/>
      <c r="AU41" s="1"/>
      <c r="AV41" s="1"/>
    </row>
    <row r="42" spans="1:48" x14ac:dyDescent="0.3">
      <c r="A42" s="1"/>
      <c r="B42" s="82"/>
      <c r="C42" s="83"/>
      <c r="D42" s="83"/>
      <c r="E42" s="83"/>
      <c r="F42" s="84"/>
      <c r="G42" s="84"/>
      <c r="H42" s="84"/>
      <c r="I42" s="84"/>
      <c r="J42" s="84"/>
      <c r="K42" s="85">
        <f t="shared" si="0"/>
        <v>1</v>
      </c>
      <c r="L42" s="85"/>
      <c r="M42" s="40"/>
      <c r="N42" s="40"/>
      <c r="O42" s="41">
        <f t="shared" si="1"/>
        <v>0</v>
      </c>
      <c r="P42" s="77">
        <f t="shared" si="2"/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3"/>
      <c r="AO42" s="72">
        <v>42</v>
      </c>
      <c r="AP42" s="81"/>
      <c r="AQ42" s="1"/>
      <c r="AR42" s="1"/>
      <c r="AS42" s="18"/>
      <c r="AT42" s="18"/>
      <c r="AU42" s="1"/>
      <c r="AV42" s="1"/>
    </row>
    <row r="43" spans="1:48" x14ac:dyDescent="0.3">
      <c r="A43" s="1"/>
      <c r="B43" s="82"/>
      <c r="C43" s="83"/>
      <c r="D43" s="83"/>
      <c r="E43" s="83"/>
      <c r="F43" s="84"/>
      <c r="G43" s="84"/>
      <c r="H43" s="84"/>
      <c r="I43" s="84"/>
      <c r="J43" s="84"/>
      <c r="K43" s="85">
        <f t="shared" si="0"/>
        <v>1</v>
      </c>
      <c r="L43" s="85"/>
      <c r="M43" s="40"/>
      <c r="N43" s="40"/>
      <c r="O43" s="41">
        <f t="shared" si="1"/>
        <v>0</v>
      </c>
      <c r="P43" s="77">
        <f t="shared" si="2"/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3"/>
      <c r="AO43" s="72">
        <v>43</v>
      </c>
      <c r="AP43" s="81"/>
      <c r="AQ43" s="1"/>
      <c r="AR43" s="1"/>
      <c r="AS43" s="18"/>
      <c r="AT43" s="18"/>
      <c r="AU43" s="1"/>
      <c r="AV43" s="1"/>
    </row>
    <row r="44" spans="1:48" x14ac:dyDescent="0.3">
      <c r="A44" s="1"/>
      <c r="B44" s="82"/>
      <c r="C44" s="83"/>
      <c r="D44" s="83"/>
      <c r="E44" s="83"/>
      <c r="F44" s="84"/>
      <c r="G44" s="84"/>
      <c r="H44" s="84"/>
      <c r="I44" s="84"/>
      <c r="J44" s="84"/>
      <c r="K44" s="85">
        <f t="shared" si="0"/>
        <v>1</v>
      </c>
      <c r="L44" s="85"/>
      <c r="M44" s="40"/>
      <c r="N44" s="40"/>
      <c r="O44" s="41">
        <f t="shared" si="1"/>
        <v>0</v>
      </c>
      <c r="P44" s="77">
        <f t="shared" si="2"/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3"/>
      <c r="AO44" s="72">
        <v>44</v>
      </c>
      <c r="AP44" s="81"/>
      <c r="AQ44" s="1"/>
      <c r="AR44" s="1"/>
      <c r="AS44" s="18"/>
      <c r="AT44" s="18"/>
      <c r="AU44" s="1"/>
      <c r="AV44" s="1"/>
    </row>
    <row r="45" spans="1:48" x14ac:dyDescent="0.3">
      <c r="A45" s="1"/>
      <c r="B45" s="82"/>
      <c r="C45" s="83"/>
      <c r="D45" s="83"/>
      <c r="E45" s="83"/>
      <c r="F45" s="84"/>
      <c r="G45" s="84"/>
      <c r="H45" s="84"/>
      <c r="I45" s="84"/>
      <c r="J45" s="84"/>
      <c r="K45" s="85">
        <f t="shared" si="0"/>
        <v>1</v>
      </c>
      <c r="L45" s="85"/>
      <c r="M45" s="40"/>
      <c r="N45" s="40"/>
      <c r="O45" s="41">
        <f t="shared" si="1"/>
        <v>0</v>
      </c>
      <c r="P45" s="77">
        <f t="shared" si="2"/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3"/>
      <c r="AO45" s="72">
        <v>47</v>
      </c>
      <c r="AP45" s="81"/>
      <c r="AQ45" s="1"/>
      <c r="AR45" s="1"/>
      <c r="AS45" s="18"/>
      <c r="AT45" s="18"/>
      <c r="AU45" s="1"/>
      <c r="AV45" s="1"/>
    </row>
    <row r="46" spans="1:48" x14ac:dyDescent="0.3">
      <c r="A46" s="1"/>
      <c r="B46" s="82"/>
      <c r="C46" s="83"/>
      <c r="D46" s="83"/>
      <c r="E46" s="83"/>
      <c r="F46" s="84"/>
      <c r="G46" s="84"/>
      <c r="H46" s="84"/>
      <c r="I46" s="84"/>
      <c r="J46" s="84"/>
      <c r="K46" s="85">
        <f t="shared" si="0"/>
        <v>1</v>
      </c>
      <c r="L46" s="85"/>
      <c r="M46" s="40"/>
      <c r="N46" s="40"/>
      <c r="O46" s="41">
        <f t="shared" si="1"/>
        <v>0</v>
      </c>
      <c r="P46" s="77">
        <f t="shared" si="2"/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3"/>
      <c r="AO46" s="72">
        <v>49</v>
      </c>
      <c r="AP46" s="81"/>
      <c r="AQ46" s="1"/>
      <c r="AR46" s="1"/>
      <c r="AS46" s="18"/>
      <c r="AT46" s="18"/>
      <c r="AU46" s="1"/>
      <c r="AV46" s="1"/>
    </row>
    <row r="47" spans="1:48" x14ac:dyDescent="0.3">
      <c r="A47" s="1"/>
      <c r="B47" s="82"/>
      <c r="C47" s="83"/>
      <c r="D47" s="83"/>
      <c r="E47" s="83"/>
      <c r="F47" s="84"/>
      <c r="G47" s="84"/>
      <c r="H47" s="84"/>
      <c r="I47" s="84"/>
      <c r="J47" s="84"/>
      <c r="K47" s="85">
        <f t="shared" si="0"/>
        <v>1</v>
      </c>
      <c r="L47" s="85"/>
      <c r="M47" s="40"/>
      <c r="N47" s="40"/>
      <c r="O47" s="41">
        <f t="shared" si="1"/>
        <v>0</v>
      </c>
      <c r="P47" s="77">
        <f t="shared" si="2"/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3"/>
      <c r="AO47" s="72">
        <v>50</v>
      </c>
      <c r="AP47" s="81"/>
      <c r="AQ47" s="1"/>
      <c r="AR47" s="1"/>
      <c r="AS47" s="18"/>
      <c r="AT47" s="18"/>
      <c r="AU47" s="1"/>
      <c r="AV47" s="1"/>
    </row>
    <row r="48" spans="1:48" x14ac:dyDescent="0.3">
      <c r="A48" s="1"/>
      <c r="B48" s="82"/>
      <c r="C48" s="83"/>
      <c r="D48" s="83"/>
      <c r="E48" s="83"/>
      <c r="F48" s="84"/>
      <c r="G48" s="84"/>
      <c r="H48" s="84"/>
      <c r="I48" s="84"/>
      <c r="J48" s="84"/>
      <c r="K48" s="85">
        <f t="shared" si="0"/>
        <v>1</v>
      </c>
      <c r="L48" s="85"/>
      <c r="M48" s="40"/>
      <c r="N48" s="40"/>
      <c r="O48" s="41">
        <f t="shared" si="1"/>
        <v>0</v>
      </c>
      <c r="P48" s="77">
        <f t="shared" si="2"/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3"/>
      <c r="AO48" s="72">
        <v>52</v>
      </c>
      <c r="AP48" s="81"/>
      <c r="AQ48" s="1"/>
      <c r="AR48" s="1"/>
      <c r="AS48" s="18"/>
      <c r="AT48" s="18"/>
      <c r="AU48" s="1"/>
      <c r="AV48" s="1"/>
    </row>
    <row r="49" spans="1:48" x14ac:dyDescent="0.3">
      <c r="A49" s="1"/>
      <c r="B49" s="82"/>
      <c r="C49" s="83"/>
      <c r="D49" s="83"/>
      <c r="E49" s="83"/>
      <c r="F49" s="84"/>
      <c r="G49" s="84"/>
      <c r="H49" s="84"/>
      <c r="I49" s="84"/>
      <c r="J49" s="84"/>
      <c r="K49" s="85">
        <f t="shared" si="0"/>
        <v>1</v>
      </c>
      <c r="L49" s="85"/>
      <c r="M49" s="40"/>
      <c r="N49" s="40"/>
      <c r="O49" s="41">
        <f t="shared" si="1"/>
        <v>0</v>
      </c>
      <c r="P49" s="77">
        <f t="shared" si="2"/>
        <v>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3"/>
      <c r="AO49" s="72">
        <v>53</v>
      </c>
      <c r="AP49" s="81"/>
      <c r="AQ49" s="1"/>
      <c r="AR49" s="1"/>
      <c r="AS49" s="18"/>
      <c r="AT49" s="18"/>
      <c r="AU49" s="1"/>
      <c r="AV49" s="1"/>
    </row>
    <row r="50" spans="1:48" x14ac:dyDescent="0.3">
      <c r="A50" s="1"/>
      <c r="B50" s="82"/>
      <c r="C50" s="83"/>
      <c r="D50" s="83"/>
      <c r="E50" s="83"/>
      <c r="F50" s="84"/>
      <c r="G50" s="84"/>
      <c r="H50" s="84"/>
      <c r="I50" s="84"/>
      <c r="J50" s="84"/>
      <c r="K50" s="85">
        <f t="shared" si="0"/>
        <v>1</v>
      </c>
      <c r="L50" s="85"/>
      <c r="M50" s="40"/>
      <c r="N50" s="40"/>
      <c r="O50" s="41">
        <f t="shared" si="1"/>
        <v>0</v>
      </c>
      <c r="P50" s="77">
        <f t="shared" si="2"/>
        <v>0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3"/>
      <c r="AO50" s="72">
        <v>55</v>
      </c>
      <c r="AP50" s="81"/>
      <c r="AQ50" s="1"/>
      <c r="AR50" s="1"/>
      <c r="AS50" s="18"/>
      <c r="AT50" s="18"/>
      <c r="AU50" s="1"/>
      <c r="AV50" s="1"/>
    </row>
    <row r="51" spans="1:48" x14ac:dyDescent="0.3">
      <c r="A51" s="1"/>
      <c r="B51" s="82"/>
      <c r="C51" s="83"/>
      <c r="D51" s="83"/>
      <c r="E51" s="83"/>
      <c r="F51" s="84"/>
      <c r="G51" s="84"/>
      <c r="H51" s="84"/>
      <c r="I51" s="84"/>
      <c r="J51" s="84"/>
      <c r="K51" s="85">
        <f t="shared" si="0"/>
        <v>1</v>
      </c>
      <c r="L51" s="85"/>
      <c r="M51" s="40"/>
      <c r="N51" s="40"/>
      <c r="O51" s="41">
        <f t="shared" si="1"/>
        <v>0</v>
      </c>
      <c r="P51" s="77">
        <f t="shared" si="2"/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3"/>
      <c r="AO51" s="72">
        <v>57</v>
      </c>
      <c r="AP51" s="81"/>
      <c r="AQ51" s="1"/>
      <c r="AR51" s="1"/>
      <c r="AS51" s="18"/>
      <c r="AT51" s="18"/>
      <c r="AU51" s="1"/>
      <c r="AV51" s="1"/>
    </row>
    <row r="52" spans="1:48" x14ac:dyDescent="0.3">
      <c r="A52" s="1"/>
      <c r="B52" s="82"/>
      <c r="C52" s="83"/>
      <c r="D52" s="83"/>
      <c r="E52" s="83"/>
      <c r="F52" s="84"/>
      <c r="G52" s="84"/>
      <c r="H52" s="84"/>
      <c r="I52" s="84"/>
      <c r="J52" s="84"/>
      <c r="K52" s="85">
        <f t="shared" si="0"/>
        <v>1</v>
      </c>
      <c r="L52" s="85"/>
      <c r="M52" s="40"/>
      <c r="N52" s="40"/>
      <c r="O52" s="41">
        <f t="shared" si="1"/>
        <v>0</v>
      </c>
      <c r="P52" s="77">
        <f t="shared" si="2"/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3"/>
      <c r="AO52" s="72">
        <v>58</v>
      </c>
      <c r="AP52" s="81"/>
      <c r="AQ52" s="1"/>
      <c r="AR52" s="1"/>
      <c r="AS52" s="18"/>
      <c r="AT52" s="18"/>
      <c r="AU52" s="1"/>
      <c r="AV52" s="1"/>
    </row>
    <row r="53" spans="1:48" ht="15" thickBot="1" x14ac:dyDescent="0.35">
      <c r="A53" s="1"/>
      <c r="B53" s="96"/>
      <c r="C53" s="97"/>
      <c r="D53" s="97"/>
      <c r="E53" s="97"/>
      <c r="F53" s="98"/>
      <c r="G53" s="98"/>
      <c r="H53" s="98"/>
      <c r="I53" s="98"/>
      <c r="J53" s="98"/>
      <c r="K53" s="99">
        <f t="shared" si="0"/>
        <v>1</v>
      </c>
      <c r="L53" s="99"/>
      <c r="M53" s="78"/>
      <c r="N53" s="78"/>
      <c r="O53" s="79">
        <f t="shared" si="1"/>
        <v>0</v>
      </c>
      <c r="P53" s="80">
        <f t="shared" si="2"/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3"/>
      <c r="AO53" s="72">
        <v>60</v>
      </c>
      <c r="AP53" s="81"/>
      <c r="AQ53" s="1"/>
      <c r="AR53" s="1"/>
      <c r="AS53" s="18"/>
      <c r="AT53" s="18"/>
      <c r="AU53" s="1"/>
      <c r="AV53" s="1"/>
    </row>
    <row r="54" spans="1:48" ht="15" thickBot="1" x14ac:dyDescent="0.35">
      <c r="A54" s="1"/>
      <c r="B54" s="42"/>
      <c r="C54" s="43"/>
      <c r="D54" s="43"/>
      <c r="E54" s="43"/>
      <c r="F54" s="44"/>
      <c r="G54" s="45"/>
      <c r="H54" s="45"/>
      <c r="I54" s="45"/>
      <c r="J54" s="45"/>
      <c r="K54" s="46"/>
      <c r="L54" s="46"/>
      <c r="M54" s="47"/>
      <c r="N54" s="47"/>
      <c r="O54" s="48"/>
      <c r="P54" s="49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3"/>
      <c r="AO54" s="72">
        <v>61</v>
      </c>
      <c r="AP54" s="81"/>
      <c r="AQ54" s="1"/>
      <c r="AR54" s="1"/>
      <c r="AS54" s="18"/>
      <c r="AT54" s="18"/>
      <c r="AU54" s="1"/>
      <c r="AV54" s="1"/>
    </row>
    <row r="55" spans="1:48" ht="15" thickBot="1" x14ac:dyDescent="0.35">
      <c r="A55" s="1"/>
      <c r="B55" s="50"/>
      <c r="C55" s="86"/>
      <c r="D55" s="86"/>
      <c r="E55" s="86"/>
      <c r="F55" s="86"/>
      <c r="G55" s="86"/>
      <c r="H55" s="86"/>
      <c r="I55" s="86"/>
      <c r="J55" s="3"/>
      <c r="K55" s="3"/>
      <c r="L55" s="87" t="s">
        <v>17</v>
      </c>
      <c r="M55" s="88"/>
      <c r="N55" s="89"/>
      <c r="O55" s="51">
        <f>SUM(O17:O53)</f>
        <v>0</v>
      </c>
      <c r="P55" s="71">
        <f>ROUND(SUM(P17:P53),2)</f>
        <v>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3"/>
      <c r="AO55" s="72">
        <v>62</v>
      </c>
      <c r="AP55" s="81"/>
      <c r="AQ55" s="1"/>
      <c r="AR55" s="1"/>
      <c r="AS55" s="18"/>
      <c r="AT55" s="18"/>
      <c r="AU55" s="1"/>
      <c r="AV55" s="1"/>
    </row>
    <row r="56" spans="1:48" x14ac:dyDescent="0.3">
      <c r="A56" s="1"/>
      <c r="B56" s="50"/>
      <c r="C56" s="52"/>
      <c r="D56" s="52"/>
      <c r="E56" s="52"/>
      <c r="F56" s="90"/>
      <c r="G56" s="90"/>
      <c r="H56" s="90"/>
      <c r="I56" s="17"/>
      <c r="J56" s="3"/>
      <c r="K56" s="34"/>
      <c r="L56" s="3"/>
      <c r="M56" s="3"/>
      <c r="N56" s="3"/>
      <c r="O56" s="12"/>
      <c r="P56" s="1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3"/>
      <c r="AM56" s="1"/>
      <c r="AN56" s="1"/>
      <c r="AO56" s="72">
        <v>63</v>
      </c>
      <c r="AP56" s="81"/>
      <c r="AQ56" s="1"/>
      <c r="AR56" s="1"/>
      <c r="AS56" s="1"/>
      <c r="AT56" s="1"/>
      <c r="AU56" s="1"/>
      <c r="AV56" s="1"/>
    </row>
    <row r="57" spans="1:48" ht="15" thickBot="1" x14ac:dyDescent="0.35">
      <c r="A57" s="1"/>
      <c r="B57" s="50"/>
      <c r="C57" s="52"/>
      <c r="D57" s="52"/>
      <c r="E57" s="52"/>
      <c r="F57" s="17"/>
      <c r="G57" s="17"/>
      <c r="H57" s="17"/>
      <c r="I57" s="17"/>
      <c r="J57" s="3"/>
      <c r="K57" s="3"/>
      <c r="L57" s="3"/>
      <c r="M57" s="3"/>
      <c r="N57" s="3"/>
      <c r="O57" s="12"/>
      <c r="P57" s="1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3"/>
      <c r="AM57" s="1"/>
      <c r="AN57" s="1"/>
      <c r="AO57" s="72">
        <v>66</v>
      </c>
      <c r="AP57" s="81"/>
      <c r="AQ57" s="1"/>
      <c r="AR57" s="1"/>
      <c r="AS57" s="1"/>
      <c r="AT57" s="1"/>
      <c r="AU57" s="1"/>
      <c r="AV57" s="1"/>
    </row>
    <row r="58" spans="1:48" ht="15" customHeight="1" x14ac:dyDescent="0.3">
      <c r="A58" s="1"/>
      <c r="B58" s="50"/>
      <c r="C58" s="52"/>
      <c r="D58" s="52"/>
      <c r="E58" s="52"/>
      <c r="F58" s="90"/>
      <c r="G58" s="90"/>
      <c r="H58" s="90"/>
      <c r="I58" s="106" t="s">
        <v>18</v>
      </c>
      <c r="J58" s="92"/>
      <c r="K58" s="53"/>
      <c r="L58" s="54"/>
      <c r="M58" s="54"/>
      <c r="N58" s="91"/>
      <c r="O58" s="91"/>
      <c r="P58" s="9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3"/>
      <c r="AM58" s="1"/>
      <c r="AN58" s="1"/>
      <c r="AO58" s="72">
        <v>67</v>
      </c>
      <c r="AP58" s="81"/>
      <c r="AQ58" s="1"/>
      <c r="AR58" s="1"/>
      <c r="AS58" s="1"/>
      <c r="AT58" s="1"/>
      <c r="AU58" s="1"/>
      <c r="AV58" s="1"/>
    </row>
    <row r="59" spans="1:48" x14ac:dyDescent="0.3">
      <c r="A59" s="1"/>
      <c r="B59" s="50"/>
      <c r="C59" s="52"/>
      <c r="D59" s="52"/>
      <c r="E59" s="21"/>
      <c r="F59" s="17"/>
      <c r="G59" s="17"/>
      <c r="H59" s="17"/>
      <c r="I59" s="107"/>
      <c r="J59" s="94"/>
      <c r="K59" s="55"/>
      <c r="L59" s="1"/>
      <c r="M59" s="1"/>
      <c r="N59" s="93"/>
      <c r="O59" s="93"/>
      <c r="P59" s="9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3"/>
      <c r="AM59" s="1"/>
      <c r="AN59" s="1"/>
      <c r="AO59" s="72">
        <v>68</v>
      </c>
      <c r="AP59" s="81"/>
      <c r="AQ59" s="1"/>
      <c r="AR59" s="1"/>
      <c r="AS59" s="1"/>
      <c r="AT59" s="1"/>
      <c r="AU59" s="1"/>
      <c r="AV59" s="1"/>
    </row>
    <row r="60" spans="1:48" x14ac:dyDescent="0.3">
      <c r="A60" s="1"/>
      <c r="B60" s="50"/>
      <c r="C60" s="52"/>
      <c r="D60" s="52"/>
      <c r="E60" s="52"/>
      <c r="F60" s="95"/>
      <c r="G60" s="95"/>
      <c r="H60" s="95"/>
      <c r="I60" s="107"/>
      <c r="J60" s="94"/>
      <c r="K60" s="3"/>
      <c r="L60" s="1"/>
      <c r="M60" s="1"/>
      <c r="N60" s="93"/>
      <c r="O60" s="93"/>
      <c r="P60" s="9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3"/>
      <c r="AM60" s="1"/>
      <c r="AN60" s="1"/>
      <c r="AO60" s="72">
        <v>69</v>
      </c>
      <c r="AP60" s="81"/>
      <c r="AQ60" s="1"/>
      <c r="AR60" s="1"/>
      <c r="AS60" s="1"/>
      <c r="AT60" s="1"/>
      <c r="AU60" s="1"/>
      <c r="AV60" s="1"/>
    </row>
    <row r="61" spans="1:48" ht="15" thickBot="1" x14ac:dyDescent="0.35">
      <c r="A61" s="1"/>
      <c r="B61" s="56"/>
      <c r="C61" s="57"/>
      <c r="D61" s="57"/>
      <c r="E61" s="57"/>
      <c r="F61" s="26"/>
      <c r="G61" s="26"/>
      <c r="H61" s="26"/>
      <c r="I61" s="108"/>
      <c r="J61" s="109"/>
      <c r="K61" s="27"/>
      <c r="L61" s="27"/>
      <c r="M61" s="27"/>
      <c r="N61" s="27"/>
      <c r="O61" s="59"/>
      <c r="P61" s="58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3"/>
      <c r="AM61" s="1"/>
      <c r="AN61" s="1"/>
      <c r="AO61" s="72">
        <v>70</v>
      </c>
      <c r="AP61" s="81"/>
      <c r="AQ61" s="1"/>
      <c r="AR61" s="1"/>
      <c r="AS61" s="1"/>
      <c r="AT61" s="1"/>
      <c r="AU61" s="1"/>
      <c r="AV61" s="1"/>
    </row>
    <row r="62" spans="1:48" x14ac:dyDescent="0.3">
      <c r="A62" s="1"/>
      <c r="B62" s="60"/>
      <c r="C62" s="52"/>
      <c r="D62" s="52"/>
      <c r="E62" s="52"/>
      <c r="F62" s="17"/>
      <c r="G62" s="17"/>
      <c r="H62" s="17"/>
      <c r="I62" s="17"/>
      <c r="J62" s="3"/>
      <c r="K62" s="3"/>
      <c r="L62" s="3"/>
      <c r="M62" s="3"/>
      <c r="N62" s="3"/>
      <c r="O62" s="12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3"/>
      <c r="AM62" s="1"/>
      <c r="AN62" s="1"/>
      <c r="AO62" s="72">
        <v>71</v>
      </c>
      <c r="AP62" s="81"/>
      <c r="AQ62" s="1"/>
      <c r="AR62" s="1"/>
      <c r="AS62" s="1"/>
      <c r="AT62" s="1"/>
      <c r="AU62" s="1"/>
      <c r="AV62" s="1"/>
    </row>
    <row r="63" spans="1:48" x14ac:dyDescent="0.3">
      <c r="A63" s="1"/>
      <c r="B63" s="60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12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3"/>
      <c r="AM63" s="1"/>
      <c r="AN63" s="1"/>
      <c r="AO63" s="72">
        <v>72</v>
      </c>
      <c r="AP63" s="81"/>
      <c r="AQ63" s="1"/>
      <c r="AR63" s="1"/>
      <c r="AS63" s="1"/>
      <c r="AT63" s="1"/>
      <c r="AU63" s="1"/>
      <c r="AV63" s="1"/>
    </row>
    <row r="64" spans="1:48" x14ac:dyDescent="0.3">
      <c r="A64" s="1"/>
      <c r="B64" s="60"/>
      <c r="C64" s="61"/>
      <c r="D64" s="61"/>
      <c r="E64" s="61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6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3"/>
      <c r="AM64" s="1"/>
      <c r="AN64" s="1"/>
      <c r="AO64" s="72">
        <v>74</v>
      </c>
      <c r="AP64" s="81"/>
      <c r="AQ64" s="1"/>
      <c r="AR64" s="1"/>
      <c r="AS64" s="1"/>
      <c r="AT64" s="1"/>
      <c r="AU64" s="1"/>
      <c r="AV64" s="1"/>
    </row>
    <row r="65" spans="1:48" x14ac:dyDescent="0.3">
      <c r="A65" s="1"/>
      <c r="B65" s="60"/>
      <c r="C65" s="61"/>
      <c r="D65" s="61"/>
      <c r="E65" s="61"/>
      <c r="F65" s="62"/>
      <c r="G65" s="62"/>
      <c r="H65" s="62"/>
      <c r="I65" s="62"/>
      <c r="J65" s="62"/>
      <c r="K65" s="62"/>
      <c r="L65" s="62"/>
      <c r="M65" s="64"/>
      <c r="N65" s="62"/>
      <c r="O65" s="63"/>
      <c r="P65" s="62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3"/>
      <c r="AM65" s="1"/>
      <c r="AN65" s="1"/>
      <c r="AO65" s="72">
        <v>75</v>
      </c>
      <c r="AP65" s="81"/>
      <c r="AQ65" s="1"/>
      <c r="AR65" s="1"/>
      <c r="AS65" s="1"/>
      <c r="AT65" s="1"/>
      <c r="AU65" s="1"/>
      <c r="AV65" s="1"/>
    </row>
    <row r="66" spans="1:48" x14ac:dyDescent="0.3">
      <c r="A66" s="1"/>
      <c r="B66" s="60"/>
      <c r="C66" s="61"/>
      <c r="D66" s="61"/>
      <c r="E66" s="61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62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3"/>
      <c r="AM66" s="1"/>
      <c r="AN66" s="1"/>
      <c r="AO66" s="72">
        <v>82</v>
      </c>
      <c r="AP66" s="81"/>
      <c r="AQ66" s="1"/>
      <c r="AR66" s="1"/>
      <c r="AS66" s="1"/>
      <c r="AT66" s="1"/>
      <c r="AU66" s="1"/>
      <c r="AV66" s="1"/>
    </row>
    <row r="67" spans="1:48" x14ac:dyDescent="0.3">
      <c r="A67" s="1"/>
      <c r="B67" s="60"/>
      <c r="C67" s="61"/>
      <c r="D67" s="61"/>
      <c r="E67" s="61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6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3"/>
      <c r="AM67" s="1"/>
      <c r="AN67" s="1"/>
      <c r="AO67" s="72">
        <v>83</v>
      </c>
      <c r="AP67" s="81"/>
      <c r="AQ67" s="1"/>
      <c r="AR67" s="1"/>
      <c r="AS67" s="1"/>
      <c r="AT67" s="1"/>
      <c r="AU67" s="1"/>
      <c r="AV67" s="1"/>
    </row>
    <row r="68" spans="1:48" x14ac:dyDescent="0.3">
      <c r="A68" s="1"/>
      <c r="B68" s="60"/>
      <c r="C68" s="61"/>
      <c r="D68" s="61"/>
      <c r="E68" s="61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62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3"/>
      <c r="AM68" s="1"/>
      <c r="AN68" s="1"/>
      <c r="AO68" s="72">
        <v>84</v>
      </c>
      <c r="AP68" s="81"/>
      <c r="AQ68" s="1"/>
      <c r="AR68" s="1"/>
      <c r="AS68" s="1"/>
      <c r="AT68" s="1"/>
      <c r="AU68" s="1"/>
      <c r="AV68" s="1"/>
    </row>
    <row r="69" spans="1:48" x14ac:dyDescent="0.3">
      <c r="A69" s="1"/>
      <c r="B69" s="60"/>
      <c r="C69" s="61"/>
      <c r="D69" s="61"/>
      <c r="E69" s="61"/>
      <c r="F69" s="62"/>
      <c r="G69" s="62"/>
      <c r="H69" s="62"/>
      <c r="I69" s="62"/>
      <c r="J69" s="62"/>
      <c r="K69" s="62"/>
      <c r="L69" s="62"/>
      <c r="M69" s="62"/>
      <c r="N69" s="62"/>
      <c r="O69" s="65"/>
      <c r="P69" s="6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3"/>
      <c r="AM69" s="1"/>
      <c r="AN69" s="1"/>
      <c r="AO69" s="72">
        <v>85</v>
      </c>
      <c r="AP69" s="81"/>
      <c r="AQ69" s="1"/>
      <c r="AR69" s="1"/>
      <c r="AS69" s="1"/>
      <c r="AT69" s="1"/>
      <c r="AU69" s="1"/>
      <c r="AV69" s="1"/>
    </row>
    <row r="70" spans="1:48" x14ac:dyDescent="0.3">
      <c r="A70" s="1"/>
      <c r="B70" s="60"/>
      <c r="C70" s="61"/>
      <c r="D70" s="61"/>
      <c r="E70" s="61"/>
      <c r="F70" s="62"/>
      <c r="G70" s="62"/>
      <c r="H70" s="62"/>
      <c r="I70" s="62"/>
      <c r="J70" s="62"/>
      <c r="K70" s="62"/>
      <c r="L70" s="62"/>
      <c r="M70" s="66"/>
      <c r="N70" s="62"/>
      <c r="O70" s="65"/>
      <c r="P70" s="62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3"/>
      <c r="AM70" s="1"/>
      <c r="AN70" s="1"/>
      <c r="AO70" s="72">
        <v>86</v>
      </c>
      <c r="AP70" s="81"/>
      <c r="AQ70" s="1"/>
      <c r="AR70" s="1"/>
      <c r="AS70" s="1"/>
      <c r="AT70" s="1"/>
      <c r="AU70" s="1"/>
      <c r="AV70" s="1"/>
    </row>
    <row r="71" spans="1:48" x14ac:dyDescent="0.3">
      <c r="A71" s="1"/>
      <c r="B71" s="60"/>
      <c r="C71" s="61"/>
      <c r="D71" s="61"/>
      <c r="E71" s="61"/>
      <c r="F71" s="62"/>
      <c r="G71" s="62"/>
      <c r="H71" s="62"/>
      <c r="I71" s="62"/>
      <c r="J71" s="62"/>
      <c r="K71" s="62"/>
      <c r="L71" s="62"/>
      <c r="M71" s="66"/>
      <c r="N71" s="66"/>
      <c r="O71" s="67"/>
      <c r="P71" s="66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3"/>
      <c r="AM71" s="3"/>
      <c r="AN71" s="1"/>
      <c r="AO71" s="72">
        <v>87</v>
      </c>
      <c r="AP71" s="81"/>
      <c r="AQ71" s="1"/>
      <c r="AR71" s="1"/>
      <c r="AS71" s="1"/>
      <c r="AT71" s="1"/>
      <c r="AU71" s="1"/>
      <c r="AV71" s="1"/>
    </row>
    <row r="72" spans="1:48" x14ac:dyDescent="0.3">
      <c r="A72" s="1"/>
      <c r="B72" s="60"/>
      <c r="C72" s="61"/>
      <c r="D72" s="61"/>
      <c r="E72" s="61"/>
      <c r="F72" s="62"/>
      <c r="G72" s="62"/>
      <c r="H72" s="62"/>
      <c r="I72" s="62"/>
      <c r="J72" s="62"/>
      <c r="K72" s="62"/>
      <c r="L72" s="62"/>
      <c r="M72" s="62"/>
      <c r="N72" s="62"/>
      <c r="O72" s="65"/>
      <c r="P72" s="6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3"/>
      <c r="AO72" s="72">
        <v>88</v>
      </c>
      <c r="AP72" s="81"/>
      <c r="AQ72" s="1"/>
      <c r="AR72" s="1"/>
      <c r="AS72" s="1"/>
      <c r="AT72" s="1"/>
      <c r="AU72" s="1"/>
      <c r="AV72" s="1"/>
    </row>
    <row r="73" spans="1:48" x14ac:dyDescent="0.3">
      <c r="A73" s="1"/>
      <c r="B73" s="60"/>
      <c r="C73" s="61"/>
      <c r="D73" s="61"/>
      <c r="E73" s="61"/>
      <c r="F73" s="62"/>
      <c r="G73" s="62"/>
      <c r="H73" s="62"/>
      <c r="I73" s="62"/>
      <c r="J73" s="62"/>
      <c r="K73" s="62"/>
      <c r="L73" s="62"/>
      <c r="M73" s="62"/>
      <c r="N73" s="62"/>
      <c r="O73" s="65"/>
      <c r="P73" s="62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3"/>
      <c r="AO73" s="72">
        <v>89</v>
      </c>
      <c r="AP73" s="81"/>
      <c r="AQ73" s="1"/>
      <c r="AR73" s="1"/>
      <c r="AS73" s="1"/>
      <c r="AT73" s="1"/>
      <c r="AU73" s="1"/>
      <c r="AV73" s="1"/>
    </row>
    <row r="74" spans="1:48" x14ac:dyDescent="0.3">
      <c r="A74" s="1"/>
      <c r="B74" s="60"/>
      <c r="C74" s="61"/>
      <c r="D74" s="61"/>
      <c r="E74" s="61"/>
      <c r="F74" s="62"/>
      <c r="G74" s="62"/>
      <c r="H74" s="62"/>
      <c r="I74" s="62"/>
      <c r="J74" s="62"/>
      <c r="K74" s="62"/>
      <c r="L74" s="62"/>
      <c r="M74" s="62"/>
      <c r="N74" s="62"/>
      <c r="O74" s="65"/>
      <c r="P74" s="6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3"/>
      <c r="AO74" s="72">
        <v>90</v>
      </c>
      <c r="AP74" s="81"/>
      <c r="AQ74" s="1"/>
      <c r="AR74" s="1"/>
      <c r="AS74" s="1"/>
      <c r="AT74" s="1"/>
      <c r="AU74" s="1"/>
      <c r="AV74" s="1"/>
    </row>
    <row r="75" spans="1:48" x14ac:dyDescent="0.3">
      <c r="A75" s="1"/>
      <c r="B75" s="60"/>
      <c r="C75" s="61"/>
      <c r="D75" s="61"/>
      <c r="E75" s="61"/>
      <c r="F75" s="62"/>
      <c r="G75" s="62"/>
      <c r="H75" s="62"/>
      <c r="I75" s="62"/>
      <c r="J75" s="62"/>
      <c r="K75" s="62"/>
      <c r="L75" s="62"/>
      <c r="M75" s="62"/>
      <c r="N75" s="62"/>
      <c r="O75" s="65"/>
      <c r="P75" s="62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3"/>
      <c r="AO75" s="72">
        <v>91</v>
      </c>
      <c r="AP75" s="81"/>
      <c r="AQ75" s="1"/>
      <c r="AR75" s="1"/>
      <c r="AS75" s="1"/>
      <c r="AT75" s="1"/>
      <c r="AU75" s="1"/>
      <c r="AV75" s="1"/>
    </row>
    <row r="76" spans="1:48" x14ac:dyDescent="0.3">
      <c r="A76" s="1"/>
      <c r="B76" s="60"/>
      <c r="C76" s="61"/>
      <c r="D76" s="61"/>
      <c r="E76" s="61"/>
      <c r="F76" s="62"/>
      <c r="G76" s="62"/>
      <c r="H76" s="62"/>
      <c r="I76" s="62"/>
      <c r="J76" s="62"/>
      <c r="K76" s="62"/>
      <c r="L76" s="62"/>
      <c r="M76" s="62"/>
      <c r="N76" s="62"/>
      <c r="O76" s="65"/>
      <c r="P76" s="6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3"/>
      <c r="AO76" s="72">
        <v>93</v>
      </c>
      <c r="AP76" s="81"/>
      <c r="AQ76" s="1"/>
      <c r="AR76" s="1"/>
      <c r="AS76" s="1"/>
      <c r="AT76" s="1"/>
      <c r="AU76" s="1"/>
      <c r="AV76" s="1"/>
    </row>
    <row r="77" spans="1:48" x14ac:dyDescent="0.3">
      <c r="A77" s="1"/>
      <c r="B77" s="60"/>
      <c r="C77" s="61"/>
      <c r="D77" s="61"/>
      <c r="E77" s="61"/>
      <c r="F77" s="62"/>
      <c r="G77" s="62"/>
      <c r="H77" s="62"/>
      <c r="I77" s="62"/>
      <c r="J77" s="62"/>
      <c r="K77" s="62"/>
      <c r="L77" s="62"/>
      <c r="M77" s="62"/>
      <c r="N77" s="66"/>
      <c r="O77" s="66"/>
      <c r="P77" s="66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3"/>
      <c r="AO77" s="72">
        <v>96</v>
      </c>
      <c r="AP77" s="81"/>
      <c r="AQ77" s="1"/>
      <c r="AR77" s="1"/>
      <c r="AS77" s="1"/>
      <c r="AT77" s="1"/>
      <c r="AU77" s="1"/>
      <c r="AV77" s="1"/>
    </row>
    <row r="78" spans="1:48" x14ac:dyDescent="0.3">
      <c r="A78" s="1"/>
      <c r="B78" s="60"/>
      <c r="C78" s="61"/>
      <c r="D78" s="61"/>
      <c r="E78" s="61"/>
      <c r="F78" s="62"/>
      <c r="G78" s="62"/>
      <c r="H78" s="62"/>
      <c r="I78" s="62"/>
      <c r="J78" s="62"/>
      <c r="K78" s="62"/>
      <c r="L78" s="62"/>
      <c r="M78" s="62"/>
      <c r="N78" s="62"/>
      <c r="O78" s="44"/>
      <c r="P78" s="4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3"/>
      <c r="AO78" s="72">
        <v>97</v>
      </c>
      <c r="AP78" s="81"/>
      <c r="AQ78" s="1"/>
      <c r="AR78" s="1"/>
      <c r="AS78" s="1"/>
      <c r="AT78" s="1"/>
      <c r="AU78" s="1"/>
      <c r="AV78" s="1"/>
    </row>
    <row r="79" spans="1:48" x14ac:dyDescent="0.3">
      <c r="A79" s="1"/>
      <c r="B79" s="60"/>
      <c r="C79" s="61"/>
      <c r="D79" s="61"/>
      <c r="E79" s="61"/>
      <c r="F79" s="62"/>
      <c r="G79" s="62"/>
      <c r="H79" s="62"/>
      <c r="I79" s="62"/>
      <c r="J79" s="62"/>
      <c r="K79" s="62"/>
      <c r="L79" s="62"/>
      <c r="M79" s="62"/>
      <c r="N79" s="62"/>
      <c r="O79" s="66"/>
      <c r="P79" s="66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3"/>
      <c r="AO79" s="72">
        <v>98</v>
      </c>
      <c r="AP79" s="81"/>
      <c r="AQ79" s="1"/>
      <c r="AR79" s="1"/>
      <c r="AS79" s="1"/>
      <c r="AT79" s="1"/>
      <c r="AU79" s="1"/>
      <c r="AV79" s="1"/>
    </row>
    <row r="80" spans="1:48" x14ac:dyDescent="0.3">
      <c r="A80" s="1"/>
      <c r="B80" s="60"/>
      <c r="C80" s="61"/>
      <c r="D80" s="61"/>
      <c r="E80" s="61"/>
      <c r="F80" s="62"/>
      <c r="G80" s="62"/>
      <c r="H80" s="62"/>
      <c r="I80" s="62"/>
      <c r="J80" s="62"/>
      <c r="K80" s="62"/>
      <c r="L80" s="62"/>
      <c r="M80" s="62"/>
      <c r="N80" s="62"/>
      <c r="O80" s="44"/>
      <c r="P80" s="4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3"/>
      <c r="AO80" s="72">
        <v>100</v>
      </c>
      <c r="AP80" s="81"/>
      <c r="AQ80" s="1"/>
      <c r="AR80" s="1"/>
      <c r="AS80" s="1"/>
      <c r="AT80" s="1"/>
      <c r="AU80" s="1"/>
      <c r="AV80" s="1"/>
    </row>
    <row r="81" spans="1:48" x14ac:dyDescent="0.3">
      <c r="A81" s="1"/>
      <c r="B81" s="60"/>
      <c r="C81" s="61"/>
      <c r="D81" s="61"/>
      <c r="E81" s="61"/>
      <c r="F81" s="62"/>
      <c r="G81" s="62"/>
      <c r="H81" s="62"/>
      <c r="I81" s="62"/>
      <c r="J81" s="62"/>
      <c r="K81" s="62"/>
      <c r="L81" s="62"/>
      <c r="M81" s="62"/>
      <c r="N81" s="66"/>
      <c r="O81" s="66"/>
      <c r="P81" s="66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3"/>
      <c r="AO81" s="72">
        <v>101</v>
      </c>
      <c r="AP81" s="81"/>
      <c r="AQ81" s="1"/>
      <c r="AR81" s="1"/>
      <c r="AS81" s="1"/>
      <c r="AT81" s="1"/>
      <c r="AU81" s="1"/>
      <c r="AV81" s="1"/>
    </row>
    <row r="82" spans="1:48" x14ac:dyDescent="0.3">
      <c r="A82" s="1"/>
      <c r="B82" s="60"/>
      <c r="C82" s="61"/>
      <c r="D82" s="61"/>
      <c r="E82" s="61"/>
      <c r="F82" s="62"/>
      <c r="G82" s="62"/>
      <c r="H82" s="62"/>
      <c r="I82" s="62"/>
      <c r="J82" s="62"/>
      <c r="K82" s="62"/>
      <c r="L82" s="62"/>
      <c r="M82" s="62"/>
      <c r="N82" s="66"/>
      <c r="O82" s="46"/>
      <c r="P82" s="46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3"/>
      <c r="AO82" s="72">
        <v>103</v>
      </c>
      <c r="AP82" s="81"/>
      <c r="AQ82" s="1"/>
      <c r="AR82" s="1"/>
      <c r="AS82" s="1"/>
      <c r="AT82" s="1"/>
      <c r="AU82" s="1"/>
      <c r="AV82" s="1"/>
    </row>
    <row r="83" spans="1:48" x14ac:dyDescent="0.3">
      <c r="A83" s="1"/>
      <c r="B83" s="60"/>
      <c r="C83" s="61"/>
      <c r="D83" s="61"/>
      <c r="E83" s="61"/>
      <c r="F83" s="62"/>
      <c r="G83" s="62"/>
      <c r="H83" s="62"/>
      <c r="I83" s="62"/>
      <c r="J83" s="62"/>
      <c r="K83" s="62"/>
      <c r="L83" s="62"/>
      <c r="M83" s="62"/>
      <c r="N83" s="62"/>
      <c r="O83" s="44"/>
      <c r="P83" s="4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3"/>
      <c r="AO83" s="72">
        <v>108</v>
      </c>
      <c r="AP83" s="81"/>
      <c r="AQ83" s="1"/>
      <c r="AR83" s="1"/>
      <c r="AS83" s="1"/>
      <c r="AT83" s="1"/>
      <c r="AU83" s="1"/>
      <c r="AV83" s="1"/>
    </row>
    <row r="84" spans="1:48" x14ac:dyDescent="0.3">
      <c r="A84" s="1"/>
      <c r="B84" s="60"/>
      <c r="C84" s="61"/>
      <c r="D84" s="61"/>
      <c r="E84" s="61"/>
      <c r="F84" s="62"/>
      <c r="G84" s="62"/>
      <c r="H84" s="62"/>
      <c r="I84" s="62"/>
      <c r="J84" s="62"/>
      <c r="K84" s="62"/>
      <c r="L84" s="62"/>
      <c r="M84" s="62"/>
      <c r="N84" s="62"/>
      <c r="O84" s="66"/>
      <c r="P84" s="66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3"/>
      <c r="AO84" s="72">
        <v>109</v>
      </c>
      <c r="AP84" s="81"/>
      <c r="AQ84" s="1"/>
      <c r="AR84" s="1"/>
      <c r="AS84" s="1"/>
      <c r="AT84" s="1"/>
      <c r="AU84" s="1"/>
      <c r="AV84" s="1"/>
    </row>
    <row r="85" spans="1:48" x14ac:dyDescent="0.3">
      <c r="A85" s="1"/>
      <c r="B85" s="60"/>
      <c r="C85" s="61"/>
      <c r="D85" s="61"/>
      <c r="E85" s="61"/>
      <c r="F85" s="62"/>
      <c r="G85" s="62"/>
      <c r="H85" s="62"/>
      <c r="I85" s="62"/>
      <c r="J85" s="62"/>
      <c r="K85" s="62"/>
      <c r="L85" s="62"/>
      <c r="M85" s="62"/>
      <c r="N85" s="66"/>
      <c r="O85" s="46"/>
      <c r="P85" s="46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3"/>
      <c r="AO85" s="72">
        <v>111</v>
      </c>
      <c r="AP85" s="81"/>
      <c r="AQ85" s="1"/>
      <c r="AR85" s="1"/>
      <c r="AS85" s="1"/>
      <c r="AT85" s="1"/>
      <c r="AU85" s="1"/>
      <c r="AV85" s="1"/>
    </row>
    <row r="86" spans="1:48" x14ac:dyDescent="0.3">
      <c r="A86" s="1"/>
      <c r="B86" s="60"/>
      <c r="C86" s="61"/>
      <c r="D86" s="61"/>
      <c r="E86" s="61"/>
      <c r="F86" s="62"/>
      <c r="G86" s="62"/>
      <c r="H86" s="62"/>
      <c r="I86" s="62"/>
      <c r="J86" s="62"/>
      <c r="K86" s="62"/>
      <c r="L86" s="62"/>
      <c r="M86" s="62"/>
      <c r="N86" s="62"/>
      <c r="O86" s="44"/>
      <c r="P86" s="4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3"/>
      <c r="AO86" s="72">
        <v>112</v>
      </c>
      <c r="AP86" s="81"/>
      <c r="AQ86" s="1"/>
      <c r="AR86" s="1"/>
      <c r="AS86" s="1"/>
      <c r="AT86" s="1"/>
      <c r="AU86" s="1"/>
      <c r="AV86" s="1"/>
    </row>
    <row r="87" spans="1:48" x14ac:dyDescent="0.3">
      <c r="A87" s="1"/>
      <c r="B87" s="60"/>
      <c r="C87" s="61"/>
      <c r="D87" s="61"/>
      <c r="E87" s="61"/>
      <c r="F87" s="62"/>
      <c r="G87" s="62"/>
      <c r="H87" s="62"/>
      <c r="I87" s="62"/>
      <c r="J87" s="62"/>
      <c r="K87" s="62"/>
      <c r="L87" s="62"/>
      <c r="M87" s="62"/>
      <c r="N87" s="62"/>
      <c r="O87" s="68"/>
      <c r="P87" s="68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3"/>
      <c r="AO87" s="72">
        <v>113</v>
      </c>
      <c r="AP87" s="81"/>
      <c r="AQ87" s="1"/>
      <c r="AR87" s="1"/>
      <c r="AS87" s="1"/>
      <c r="AT87" s="1"/>
      <c r="AU87" s="1"/>
      <c r="AV87" s="1"/>
    </row>
    <row r="88" spans="1:48" x14ac:dyDescent="0.3">
      <c r="A88" s="1"/>
      <c r="B88" s="60"/>
      <c r="C88" s="61"/>
      <c r="D88" s="61"/>
      <c r="E88" s="61"/>
      <c r="F88" s="62"/>
      <c r="G88" s="62"/>
      <c r="H88" s="62"/>
      <c r="I88" s="62"/>
      <c r="J88" s="62"/>
      <c r="K88" s="62"/>
      <c r="L88" s="62"/>
      <c r="M88" s="62"/>
      <c r="N88" s="66"/>
      <c r="O88" s="46"/>
      <c r="P88" s="46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3"/>
      <c r="AO88" s="72">
        <v>114</v>
      </c>
      <c r="AP88" s="81"/>
      <c r="AQ88" s="1"/>
      <c r="AR88" s="1"/>
      <c r="AS88" s="1"/>
      <c r="AT88" s="1"/>
      <c r="AU88" s="1"/>
      <c r="AV88" s="1"/>
    </row>
    <row r="89" spans="1:48" x14ac:dyDescent="0.3">
      <c r="A89" s="1"/>
      <c r="B89" s="60"/>
      <c r="C89" s="61"/>
      <c r="D89" s="61"/>
      <c r="E89" s="61"/>
      <c r="F89" s="62"/>
      <c r="G89" s="62"/>
      <c r="H89" s="62"/>
      <c r="I89" s="62"/>
      <c r="J89" s="62"/>
      <c r="K89" s="62"/>
      <c r="L89" s="62"/>
      <c r="M89" s="62"/>
      <c r="N89" s="62"/>
      <c r="O89" s="44"/>
      <c r="P89" s="4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3"/>
      <c r="AO89" s="72">
        <v>115</v>
      </c>
      <c r="AP89" s="81"/>
      <c r="AQ89" s="1"/>
      <c r="AR89" s="1"/>
      <c r="AS89" s="1"/>
      <c r="AT89" s="1"/>
      <c r="AU89" s="1"/>
      <c r="AV89" s="1"/>
    </row>
    <row r="90" spans="1:48" x14ac:dyDescent="0.3">
      <c r="A90" s="1"/>
      <c r="B90" s="60"/>
      <c r="C90" s="61"/>
      <c r="D90" s="61"/>
      <c r="E90" s="61"/>
      <c r="F90" s="62"/>
      <c r="G90" s="62"/>
      <c r="H90" s="62"/>
      <c r="I90" s="62"/>
      <c r="J90" s="62"/>
      <c r="K90" s="62"/>
      <c r="L90" s="62"/>
      <c r="M90" s="62"/>
      <c r="N90" s="62"/>
      <c r="O90" s="66"/>
      <c r="P90" s="66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3"/>
      <c r="AO90" s="72">
        <v>116</v>
      </c>
      <c r="AP90" s="81"/>
      <c r="AQ90" s="1"/>
      <c r="AR90" s="1"/>
      <c r="AS90" s="1"/>
      <c r="AT90" s="1"/>
      <c r="AU90" s="1"/>
      <c r="AV90" s="1"/>
    </row>
    <row r="91" spans="1:48" x14ac:dyDescent="0.3">
      <c r="A91" s="1"/>
      <c r="B91" s="60"/>
      <c r="C91" s="61"/>
      <c r="D91" s="61"/>
      <c r="E91" s="61"/>
      <c r="F91" s="62"/>
      <c r="G91" s="62"/>
      <c r="H91" s="62"/>
      <c r="I91" s="62"/>
      <c r="J91" s="62"/>
      <c r="K91" s="62"/>
      <c r="L91" s="62"/>
      <c r="M91" s="62"/>
      <c r="N91" s="66"/>
      <c r="O91" s="46"/>
      <c r="P91" s="46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3"/>
      <c r="AO91" s="72">
        <v>117</v>
      </c>
      <c r="AP91" s="81"/>
      <c r="AQ91" s="1"/>
      <c r="AR91" s="1"/>
      <c r="AS91" s="1"/>
      <c r="AT91" s="1"/>
      <c r="AU91" s="1"/>
      <c r="AV91" s="1"/>
    </row>
    <row r="92" spans="1:48" x14ac:dyDescent="0.3">
      <c r="A92" s="1"/>
      <c r="B92" s="60"/>
      <c r="C92" s="61"/>
      <c r="D92" s="61"/>
      <c r="E92" s="61"/>
      <c r="F92" s="62"/>
      <c r="G92" s="62"/>
      <c r="H92" s="62"/>
      <c r="I92" s="62"/>
      <c r="J92" s="62"/>
      <c r="K92" s="62"/>
      <c r="L92" s="62"/>
      <c r="M92" s="62"/>
      <c r="N92" s="62"/>
      <c r="O92" s="44"/>
      <c r="P92" s="4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3"/>
      <c r="AO92" s="72">
        <v>118</v>
      </c>
      <c r="AP92" s="81"/>
      <c r="AQ92" s="1"/>
      <c r="AR92" s="1"/>
      <c r="AS92" s="1"/>
      <c r="AT92" s="1"/>
      <c r="AU92" s="1"/>
      <c r="AV92" s="1"/>
    </row>
    <row r="93" spans="1:48" x14ac:dyDescent="0.3">
      <c r="A93" s="1"/>
      <c r="B93" s="60"/>
      <c r="C93" s="61"/>
      <c r="D93" s="61"/>
      <c r="E93" s="61"/>
      <c r="F93" s="62"/>
      <c r="G93" s="62"/>
      <c r="H93" s="62"/>
      <c r="I93" s="62"/>
      <c r="J93" s="62"/>
      <c r="K93" s="62"/>
      <c r="L93" s="62"/>
      <c r="M93" s="62"/>
      <c r="N93" s="62"/>
      <c r="O93" s="69"/>
      <c r="P93" s="69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3"/>
      <c r="AO93" s="72">
        <v>119</v>
      </c>
      <c r="AP93" s="81"/>
      <c r="AQ93" s="1"/>
      <c r="AR93" s="1"/>
      <c r="AS93" s="1"/>
      <c r="AT93" s="1"/>
      <c r="AU93" s="1"/>
      <c r="AV93" s="1"/>
    </row>
    <row r="94" spans="1:48" x14ac:dyDescent="0.3">
      <c r="A94" s="1"/>
      <c r="B94" s="60"/>
      <c r="C94" s="61"/>
      <c r="D94" s="61"/>
      <c r="E94" s="61"/>
      <c r="F94" s="62"/>
      <c r="G94" s="62"/>
      <c r="H94" s="62"/>
      <c r="I94" s="62"/>
      <c r="J94" s="62"/>
      <c r="K94" s="62"/>
      <c r="L94" s="62"/>
      <c r="M94" s="62"/>
      <c r="N94" s="66"/>
      <c r="O94" s="46"/>
      <c r="P94" s="46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3"/>
      <c r="AO94" s="72">
        <v>120</v>
      </c>
      <c r="AP94" s="81"/>
      <c r="AQ94" s="1"/>
      <c r="AR94" s="1"/>
      <c r="AS94" s="1"/>
      <c r="AT94" s="1"/>
      <c r="AU94" s="1"/>
      <c r="AV94" s="1"/>
    </row>
    <row r="95" spans="1:48" x14ac:dyDescent="0.3">
      <c r="A95" s="1"/>
      <c r="B95" s="60"/>
      <c r="C95" s="61"/>
      <c r="D95" s="61"/>
      <c r="E95" s="61"/>
      <c r="F95" s="62"/>
      <c r="G95" s="62"/>
      <c r="H95" s="62"/>
      <c r="I95" s="62"/>
      <c r="J95" s="62"/>
      <c r="K95" s="62"/>
      <c r="L95" s="62"/>
      <c r="M95" s="62"/>
      <c r="N95" s="62"/>
      <c r="O95" s="45"/>
      <c r="P95" s="45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3"/>
      <c r="AO95" s="72">
        <v>240</v>
      </c>
      <c r="AP95" s="81"/>
      <c r="AQ95" s="1"/>
      <c r="AR95" s="1"/>
      <c r="AS95" s="1"/>
      <c r="AT95" s="1"/>
      <c r="AU95" s="1"/>
      <c r="AV95" s="1"/>
    </row>
    <row r="96" spans="1:48" x14ac:dyDescent="0.3">
      <c r="A96" s="1"/>
      <c r="B96" s="60"/>
      <c r="C96" s="61"/>
      <c r="D96" s="61"/>
      <c r="E96" s="61"/>
      <c r="F96" s="62"/>
      <c r="G96" s="62"/>
      <c r="H96" s="62"/>
      <c r="I96" s="62"/>
      <c r="J96" s="62"/>
      <c r="K96" s="62"/>
      <c r="L96" s="62"/>
      <c r="M96" s="62"/>
      <c r="N96" s="66"/>
      <c r="O96" s="46"/>
      <c r="P96" s="46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3"/>
      <c r="AO96" s="72">
        <v>353</v>
      </c>
      <c r="AP96" s="81"/>
      <c r="AQ96" s="1"/>
      <c r="AR96" s="1"/>
      <c r="AS96" s="1"/>
      <c r="AT96" s="1"/>
      <c r="AU96" s="1"/>
      <c r="AV96" s="1"/>
    </row>
    <row r="97" spans="1:48" x14ac:dyDescent="0.3">
      <c r="A97" s="1"/>
      <c r="B97" s="60"/>
      <c r="C97" s="61"/>
      <c r="D97" s="61"/>
      <c r="E97" s="61"/>
      <c r="F97" s="62"/>
      <c r="G97" s="62"/>
      <c r="H97" s="62"/>
      <c r="I97" s="62"/>
      <c r="J97" s="62"/>
      <c r="K97" s="62"/>
      <c r="L97" s="62"/>
      <c r="M97" s="62"/>
      <c r="N97" s="62"/>
      <c r="O97" s="65"/>
      <c r="P97" s="6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3"/>
      <c r="AO97" s="72">
        <v>355</v>
      </c>
      <c r="AP97" s="81"/>
      <c r="AQ97" s="1"/>
      <c r="AR97" s="1"/>
      <c r="AS97" s="1"/>
      <c r="AT97" s="1"/>
      <c r="AU97" s="1"/>
      <c r="AV97" s="1"/>
    </row>
    <row r="98" spans="1:48" x14ac:dyDescent="0.3">
      <c r="A98" s="1"/>
      <c r="B98" s="60"/>
      <c r="C98" s="61"/>
      <c r="D98" s="61"/>
      <c r="E98" s="61"/>
      <c r="F98" s="62"/>
      <c r="G98" s="62"/>
      <c r="H98" s="62"/>
      <c r="I98" s="62"/>
      <c r="J98" s="62"/>
      <c r="K98" s="62"/>
      <c r="L98" s="62"/>
      <c r="M98" s="62"/>
      <c r="N98" s="62"/>
      <c r="O98" s="65"/>
      <c r="P98" s="6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3"/>
      <c r="AO98" s="72">
        <v>356</v>
      </c>
      <c r="AP98" s="81"/>
      <c r="AQ98" s="1"/>
      <c r="AR98" s="1"/>
      <c r="AS98" s="1"/>
      <c r="AT98" s="1"/>
      <c r="AU98" s="1"/>
      <c r="AV98" s="1"/>
    </row>
    <row r="99" spans="1:48" x14ac:dyDescent="0.3">
      <c r="A99" s="1"/>
      <c r="B99" s="60"/>
      <c r="C99" s="61"/>
      <c r="D99" s="61"/>
      <c r="E99" s="61"/>
      <c r="F99" s="62"/>
      <c r="G99" s="62"/>
      <c r="H99" s="62"/>
      <c r="I99" s="62"/>
      <c r="J99" s="62"/>
      <c r="K99" s="62"/>
      <c r="L99" s="62"/>
      <c r="M99" s="62"/>
      <c r="N99" s="62"/>
      <c r="O99" s="65"/>
      <c r="P99" s="6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3"/>
      <c r="AO99" s="72">
        <v>357</v>
      </c>
      <c r="AP99" s="81"/>
      <c r="AQ99" s="1"/>
      <c r="AR99" s="1"/>
      <c r="AS99" s="1"/>
      <c r="AT99" s="1"/>
      <c r="AU99" s="1"/>
      <c r="AV99" s="1"/>
    </row>
    <row r="100" spans="1:48" x14ac:dyDescent="0.3">
      <c r="A100" s="1"/>
      <c r="B100" s="60"/>
      <c r="C100" s="61"/>
      <c r="D100" s="61"/>
      <c r="E100" s="61"/>
      <c r="F100" s="62"/>
      <c r="G100" s="62"/>
      <c r="H100" s="62"/>
      <c r="I100" s="62"/>
      <c r="J100" s="62"/>
      <c r="K100" s="62"/>
      <c r="L100" s="62"/>
      <c r="M100" s="62"/>
      <c r="N100" s="62"/>
      <c r="O100" s="65"/>
      <c r="P100" s="6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3"/>
      <c r="AO100" s="72">
        <v>359</v>
      </c>
      <c r="AP100" s="81"/>
      <c r="AQ100" s="1"/>
      <c r="AR100" s="1"/>
      <c r="AS100" s="1"/>
      <c r="AT100" s="1"/>
      <c r="AU100" s="1"/>
      <c r="AV100" s="1"/>
    </row>
    <row r="101" spans="1:48" x14ac:dyDescent="0.3">
      <c r="A101" s="1"/>
      <c r="B101" s="60"/>
      <c r="C101" s="61"/>
      <c r="D101" s="61"/>
      <c r="E101" s="61"/>
      <c r="F101" s="62"/>
      <c r="G101" s="62"/>
      <c r="H101" s="62"/>
      <c r="I101" s="62"/>
      <c r="J101" s="62"/>
      <c r="K101" s="62"/>
      <c r="L101" s="62"/>
      <c r="M101" s="62"/>
      <c r="N101" s="62"/>
      <c r="O101" s="65"/>
      <c r="P101" s="6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3"/>
      <c r="AO101" s="72">
        <v>450</v>
      </c>
      <c r="AP101" s="81"/>
      <c r="AQ101" s="1"/>
      <c r="AR101" s="1"/>
      <c r="AS101" s="1"/>
      <c r="AT101" s="1"/>
      <c r="AU101" s="1"/>
      <c r="AV101" s="1"/>
    </row>
    <row r="102" spans="1:48" x14ac:dyDescent="0.3">
      <c r="A102" s="1"/>
      <c r="B102" s="60"/>
      <c r="C102" s="61"/>
      <c r="D102" s="61"/>
      <c r="E102" s="61"/>
      <c r="F102" s="62"/>
      <c r="G102" s="62"/>
      <c r="H102" s="62"/>
      <c r="I102" s="62"/>
      <c r="J102" s="62"/>
      <c r="K102" s="62"/>
      <c r="L102" s="62"/>
      <c r="M102" s="62"/>
      <c r="N102" s="62"/>
      <c r="O102" s="65"/>
      <c r="P102" s="6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3"/>
      <c r="AO102" s="72">
        <v>451</v>
      </c>
      <c r="AP102" s="81"/>
      <c r="AQ102" s="1"/>
      <c r="AR102" s="1"/>
      <c r="AS102" s="1"/>
      <c r="AT102" s="1"/>
      <c r="AU102" s="1"/>
      <c r="AV102" s="1"/>
    </row>
    <row r="103" spans="1:48" x14ac:dyDescent="0.3">
      <c r="A103" s="1"/>
      <c r="B103" s="60"/>
      <c r="C103" s="61"/>
      <c r="D103" s="61"/>
      <c r="E103" s="61"/>
      <c r="F103" s="62"/>
      <c r="G103" s="62"/>
      <c r="H103" s="62"/>
      <c r="I103" s="62"/>
      <c r="J103" s="62"/>
      <c r="K103" s="62"/>
      <c r="L103" s="62"/>
      <c r="M103" s="62"/>
      <c r="N103" s="62"/>
      <c r="O103" s="65"/>
      <c r="P103" s="6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3"/>
      <c r="AO103" s="72">
        <v>479</v>
      </c>
      <c r="AP103" s="81"/>
      <c r="AQ103" s="1"/>
      <c r="AR103" s="1"/>
      <c r="AS103" s="1"/>
      <c r="AT103" s="1"/>
      <c r="AU103" s="1"/>
      <c r="AV103" s="1"/>
    </row>
    <row r="104" spans="1:48" x14ac:dyDescent="0.3">
      <c r="A104" s="1"/>
      <c r="B104" s="60"/>
      <c r="C104" s="61"/>
      <c r="D104" s="61"/>
      <c r="E104" s="61"/>
      <c r="F104" s="62"/>
      <c r="G104" s="62"/>
      <c r="H104" s="62"/>
      <c r="I104" s="62"/>
      <c r="J104" s="62"/>
      <c r="K104" s="62"/>
      <c r="L104" s="62"/>
      <c r="M104" s="62"/>
      <c r="N104" s="62"/>
      <c r="O104" s="65"/>
      <c r="P104" s="6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3"/>
      <c r="AO104" s="72">
        <v>489</v>
      </c>
      <c r="AP104" s="81"/>
      <c r="AQ104" s="1"/>
      <c r="AR104" s="1"/>
      <c r="AS104" s="1"/>
      <c r="AT104" s="1"/>
      <c r="AU104" s="1"/>
      <c r="AV104" s="1"/>
    </row>
    <row r="105" spans="1:48" x14ac:dyDescent="0.3">
      <c r="A105" s="1"/>
      <c r="B105" s="60"/>
      <c r="C105" s="61"/>
      <c r="D105" s="61"/>
      <c r="E105" s="61"/>
      <c r="F105" s="62"/>
      <c r="G105" s="62"/>
      <c r="H105" s="62"/>
      <c r="I105" s="62"/>
      <c r="J105" s="62"/>
      <c r="K105" s="62"/>
      <c r="L105" s="62"/>
      <c r="M105" s="62"/>
      <c r="N105" s="62"/>
      <c r="O105" s="65"/>
      <c r="P105" s="6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3"/>
      <c r="AO105" s="72">
        <v>500</v>
      </c>
      <c r="AP105" s="81"/>
      <c r="AQ105" s="1"/>
      <c r="AR105" s="1"/>
      <c r="AS105" s="1"/>
      <c r="AT105" s="1"/>
      <c r="AU105" s="1"/>
      <c r="AV105" s="1"/>
    </row>
    <row r="106" spans="1:48" x14ac:dyDescent="0.3">
      <c r="A106" s="1"/>
      <c r="B106" s="60"/>
      <c r="C106" s="61"/>
      <c r="D106" s="61"/>
      <c r="E106" s="61"/>
      <c r="F106" s="62"/>
      <c r="G106" s="62"/>
      <c r="H106" s="62"/>
      <c r="I106" s="62"/>
      <c r="J106" s="62"/>
      <c r="K106" s="62"/>
      <c r="L106" s="62"/>
      <c r="M106" s="62"/>
      <c r="N106" s="62"/>
      <c r="O106" s="65"/>
      <c r="P106" s="6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3"/>
      <c r="AO106" s="72">
        <v>505</v>
      </c>
      <c r="AP106" s="81"/>
      <c r="AQ106" s="1"/>
      <c r="AR106" s="1"/>
      <c r="AS106" s="1"/>
      <c r="AT106" s="1"/>
      <c r="AU106" s="1"/>
      <c r="AV106" s="1"/>
    </row>
    <row r="107" spans="1:48" x14ac:dyDescent="0.3">
      <c r="A107" s="1"/>
      <c r="B107" s="60"/>
      <c r="C107" s="61"/>
      <c r="D107" s="61"/>
      <c r="E107" s="61"/>
      <c r="F107" s="62"/>
      <c r="G107" s="62"/>
      <c r="H107" s="62"/>
      <c r="I107" s="62"/>
      <c r="J107" s="62"/>
      <c r="K107" s="62"/>
      <c r="L107" s="62"/>
      <c r="M107" s="62"/>
      <c r="N107" s="62"/>
      <c r="O107" s="65"/>
      <c r="P107" s="6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3"/>
      <c r="AO107" s="72">
        <v>508</v>
      </c>
      <c r="AP107" s="81"/>
      <c r="AQ107" s="1"/>
      <c r="AR107" s="1"/>
      <c r="AS107" s="1"/>
      <c r="AT107" s="1"/>
      <c r="AU107" s="1"/>
      <c r="AV107" s="1"/>
    </row>
    <row r="108" spans="1:48" x14ac:dyDescent="0.3">
      <c r="A108" s="1"/>
      <c r="B108" s="1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70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3"/>
      <c r="AO108" s="72">
        <v>510</v>
      </c>
      <c r="AP108" s="81"/>
      <c r="AQ108" s="1"/>
      <c r="AR108" s="1"/>
      <c r="AS108" s="1"/>
      <c r="AT108" s="1"/>
      <c r="AU108" s="1"/>
      <c r="AV108" s="1"/>
    </row>
    <row r="109" spans="1:48" x14ac:dyDescent="0.3">
      <c r="A109" s="1"/>
      <c r="B109" s="1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70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3"/>
      <c r="AO109" s="72">
        <v>520</v>
      </c>
      <c r="AP109" s="81"/>
      <c r="AQ109" s="1"/>
      <c r="AR109" s="1"/>
      <c r="AS109" s="1"/>
      <c r="AT109" s="1"/>
      <c r="AU109" s="1"/>
      <c r="AV109" s="1"/>
    </row>
    <row r="110" spans="1:48" x14ac:dyDescent="0.3">
      <c r="A110" s="1"/>
      <c r="B110" s="1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70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3"/>
      <c r="AO110" s="72">
        <v>525</v>
      </c>
      <c r="AP110" s="81"/>
      <c r="AQ110" s="1"/>
      <c r="AR110" s="1"/>
      <c r="AS110" s="1"/>
      <c r="AT110" s="1"/>
      <c r="AU110" s="1"/>
      <c r="AV110" s="1"/>
    </row>
    <row r="111" spans="1:48" x14ac:dyDescent="0.3">
      <c r="A111" s="1"/>
      <c r="B111" s="1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70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3"/>
      <c r="AO111" s="72">
        <v>530</v>
      </c>
      <c r="AP111" s="81"/>
      <c r="AQ111" s="1"/>
      <c r="AR111" s="1"/>
      <c r="AS111" s="1"/>
      <c r="AT111" s="1"/>
      <c r="AU111" s="1"/>
      <c r="AV111" s="1"/>
    </row>
    <row r="112" spans="1:48" x14ac:dyDescent="0.3">
      <c r="A112" s="1"/>
      <c r="B112" s="1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70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3"/>
      <c r="AO112" s="72">
        <v>531</v>
      </c>
      <c r="AP112" s="81"/>
      <c r="AQ112" s="1"/>
      <c r="AR112" s="1"/>
      <c r="AS112" s="1"/>
      <c r="AT112" s="1"/>
      <c r="AU112" s="1"/>
      <c r="AV112" s="1"/>
    </row>
    <row r="113" spans="1:48" x14ac:dyDescent="0.3">
      <c r="A113" s="1"/>
      <c r="B113" s="1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70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3"/>
      <c r="AO113" s="72">
        <v>535</v>
      </c>
      <c r="AP113" s="81"/>
      <c r="AQ113" s="1"/>
      <c r="AR113" s="1"/>
      <c r="AS113" s="1"/>
      <c r="AT113" s="1"/>
      <c r="AU113" s="1"/>
      <c r="AV113" s="1"/>
    </row>
    <row r="114" spans="1:48" x14ac:dyDescent="0.3">
      <c r="A114" s="1"/>
      <c r="B114" s="1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70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3"/>
      <c r="AO114" s="72">
        <v>536</v>
      </c>
      <c r="AP114" s="81"/>
      <c r="AQ114" s="1"/>
      <c r="AR114" s="1"/>
      <c r="AS114" s="1"/>
      <c r="AT114" s="1"/>
      <c r="AU114" s="1"/>
      <c r="AV114" s="1"/>
    </row>
    <row r="115" spans="1:48" x14ac:dyDescent="0.3">
      <c r="A115" s="1"/>
      <c r="B115" s="1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70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3"/>
      <c r="AO115" s="72">
        <v>590</v>
      </c>
      <c r="AP115" s="81"/>
      <c r="AQ115" s="1"/>
      <c r="AR115" s="1"/>
      <c r="AS115" s="1"/>
      <c r="AT115" s="1"/>
      <c r="AU115" s="1"/>
      <c r="AV115" s="1"/>
    </row>
    <row r="116" spans="1:48" x14ac:dyDescent="0.3">
      <c r="A116" s="1"/>
      <c r="B116" s="1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70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3"/>
      <c r="AO116" s="72">
        <v>600</v>
      </c>
      <c r="AP116" s="81"/>
      <c r="AQ116" s="1"/>
      <c r="AR116" s="1"/>
      <c r="AS116" s="1"/>
      <c r="AT116" s="1"/>
      <c r="AU116" s="1"/>
      <c r="AV116" s="1"/>
    </row>
    <row r="117" spans="1:48" x14ac:dyDescent="0.3">
      <c r="A117" s="1"/>
      <c r="B117" s="1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70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3"/>
      <c r="AO117" s="72">
        <v>620</v>
      </c>
      <c r="AP117" s="81"/>
      <c r="AQ117" s="1"/>
      <c r="AR117" s="1"/>
      <c r="AS117" s="1"/>
      <c r="AT117" s="1"/>
      <c r="AU117" s="1"/>
      <c r="AV117" s="1"/>
    </row>
    <row r="118" spans="1:48" x14ac:dyDescent="0.3">
      <c r="A118" s="1"/>
      <c r="B118" s="1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70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3"/>
      <c r="AO118" s="72">
        <v>630</v>
      </c>
      <c r="AP118" s="81"/>
      <c r="AQ118" s="1"/>
      <c r="AR118" s="1"/>
      <c r="AS118" s="1"/>
      <c r="AT118" s="1"/>
      <c r="AU118" s="1"/>
      <c r="AV118" s="1"/>
    </row>
    <row r="119" spans="1:48" x14ac:dyDescent="0.3">
      <c r="A119" s="1"/>
      <c r="B119" s="1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70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3"/>
      <c r="AO119" s="72">
        <v>680</v>
      </c>
      <c r="AP119" s="81"/>
      <c r="AQ119" s="1"/>
      <c r="AR119" s="1"/>
      <c r="AS119" s="1"/>
      <c r="AT119" s="1"/>
      <c r="AU119" s="1"/>
      <c r="AV119" s="1"/>
    </row>
    <row r="120" spans="1:48" x14ac:dyDescent="0.3">
      <c r="A120" s="1"/>
      <c r="B120" s="1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70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3"/>
      <c r="AO120" s="72">
        <v>700</v>
      </c>
      <c r="AP120" s="81"/>
      <c r="AQ120" s="1"/>
      <c r="AR120" s="1"/>
      <c r="AS120" s="1"/>
      <c r="AT120" s="1"/>
      <c r="AU120" s="1"/>
      <c r="AV120" s="1"/>
    </row>
    <row r="121" spans="1:48" x14ac:dyDescent="0.3">
      <c r="A121" s="1"/>
      <c r="B121" s="1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70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3"/>
      <c r="AO121" s="72">
        <v>702</v>
      </c>
      <c r="AP121" s="81"/>
      <c r="AQ121" s="1"/>
      <c r="AR121" s="1"/>
      <c r="AS121" s="1"/>
      <c r="AT121" s="1"/>
      <c r="AU121" s="1"/>
      <c r="AV121" s="1"/>
    </row>
    <row r="122" spans="1:48" x14ac:dyDescent="0.3">
      <c r="A122" s="1"/>
      <c r="B122" s="1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70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3"/>
      <c r="AO122" s="72">
        <v>705</v>
      </c>
      <c r="AP122" s="81"/>
      <c r="AQ122" s="1"/>
      <c r="AR122" s="1"/>
      <c r="AS122" s="1"/>
      <c r="AT122" s="1"/>
      <c r="AU122" s="1"/>
      <c r="AV122" s="1"/>
    </row>
    <row r="123" spans="1:48" x14ac:dyDescent="0.3">
      <c r="A123" s="1"/>
      <c r="B123" s="1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70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3"/>
      <c r="AO123" s="72">
        <v>708</v>
      </c>
      <c r="AP123" s="81"/>
      <c r="AQ123" s="1"/>
      <c r="AR123" s="1"/>
      <c r="AS123" s="1"/>
      <c r="AT123" s="1"/>
      <c r="AU123" s="1"/>
      <c r="AV123" s="1"/>
    </row>
    <row r="124" spans="1:48" x14ac:dyDescent="0.3">
      <c r="A124" s="1"/>
      <c r="B124" s="1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70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3"/>
      <c r="AO124" s="72">
        <v>710</v>
      </c>
      <c r="AP124" s="81"/>
      <c r="AQ124" s="1"/>
      <c r="AR124" s="1"/>
      <c r="AS124" s="1"/>
      <c r="AT124" s="1"/>
      <c r="AU124" s="1"/>
      <c r="AV124" s="1"/>
    </row>
    <row r="125" spans="1:48" x14ac:dyDescent="0.3">
      <c r="A125" s="1"/>
      <c r="B125" s="1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70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3"/>
      <c r="AO125" s="72">
        <v>715</v>
      </c>
      <c r="AP125" s="81"/>
      <c r="AQ125" s="1"/>
      <c r="AR125" s="1"/>
      <c r="AS125" s="1"/>
      <c r="AT125" s="1"/>
      <c r="AU125" s="1"/>
      <c r="AV125" s="1"/>
    </row>
    <row r="126" spans="1:48" x14ac:dyDescent="0.3">
      <c r="A126" s="1"/>
      <c r="B126" s="1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70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3"/>
      <c r="AO126" s="72">
        <v>720</v>
      </c>
      <c r="AP126" s="81"/>
      <c r="AQ126" s="1"/>
      <c r="AR126" s="1"/>
      <c r="AS126" s="1"/>
      <c r="AT126" s="1"/>
      <c r="AU126" s="1"/>
      <c r="AV126" s="1"/>
    </row>
    <row r="127" spans="1:48" x14ac:dyDescent="0.3">
      <c r="A127" s="1"/>
      <c r="B127" s="1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70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3"/>
      <c r="AO127" s="72">
        <v>721</v>
      </c>
      <c r="AP127" s="81"/>
      <c r="AQ127" s="1"/>
      <c r="AR127" s="1"/>
      <c r="AS127" s="1"/>
      <c r="AT127" s="1"/>
      <c r="AU127" s="1"/>
      <c r="AV127" s="1"/>
    </row>
    <row r="128" spans="1:48" x14ac:dyDescent="0.3">
      <c r="A128" s="1"/>
      <c r="B128" s="1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70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3"/>
      <c r="AO128" s="72">
        <v>730</v>
      </c>
      <c r="AP128" s="81"/>
      <c r="AQ128" s="1"/>
      <c r="AR128" s="1"/>
      <c r="AS128" s="1"/>
      <c r="AT128" s="1"/>
      <c r="AU128" s="1"/>
      <c r="AV128" s="1"/>
    </row>
    <row r="129" spans="1:48" x14ac:dyDescent="0.3">
      <c r="A129" s="1"/>
      <c r="B129" s="1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70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3"/>
      <c r="AO129" s="72">
        <v>735</v>
      </c>
      <c r="AP129" s="81"/>
      <c r="AQ129" s="1"/>
      <c r="AR129" s="1"/>
      <c r="AS129" s="1"/>
      <c r="AT129" s="1"/>
      <c r="AU129" s="1"/>
      <c r="AV129" s="1"/>
    </row>
    <row r="130" spans="1:48" x14ac:dyDescent="0.3">
      <c r="A130" s="1"/>
      <c r="B130" s="1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70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3"/>
      <c r="AO130" s="72">
        <v>740</v>
      </c>
      <c r="AP130" s="81"/>
      <c r="AQ130" s="1"/>
      <c r="AR130" s="1"/>
      <c r="AS130" s="1"/>
      <c r="AT130" s="1"/>
      <c r="AU130" s="1"/>
      <c r="AV130" s="1"/>
    </row>
    <row r="131" spans="1:48" x14ac:dyDescent="0.3">
      <c r="A131" s="1"/>
      <c r="B131" s="1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70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3"/>
      <c r="AO131" s="72">
        <v>741</v>
      </c>
      <c r="AP131" s="81"/>
      <c r="AQ131" s="1"/>
      <c r="AR131" s="1"/>
      <c r="AS131" s="1"/>
      <c r="AT131" s="1"/>
      <c r="AU131" s="1"/>
      <c r="AV131" s="1"/>
    </row>
    <row r="132" spans="1:48" x14ac:dyDescent="0.3">
      <c r="A132" s="1"/>
      <c r="B132" s="1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70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3"/>
      <c r="AO132" s="72">
        <v>745</v>
      </c>
      <c r="AP132" s="81"/>
      <c r="AQ132" s="1"/>
      <c r="AR132" s="1"/>
      <c r="AS132" s="1"/>
      <c r="AT132" s="1"/>
      <c r="AU132" s="1"/>
      <c r="AV132" s="1"/>
    </row>
    <row r="133" spans="1:48" x14ac:dyDescent="0.3">
      <c r="A133" s="1"/>
      <c r="B133" s="1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70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3"/>
      <c r="AO133" s="72">
        <v>750</v>
      </c>
      <c r="AP133" s="81"/>
      <c r="AQ133" s="1"/>
      <c r="AR133" s="1"/>
      <c r="AS133" s="1"/>
      <c r="AT133" s="1"/>
      <c r="AU133" s="1"/>
      <c r="AV133" s="1"/>
    </row>
    <row r="134" spans="1:48" x14ac:dyDescent="0.3">
      <c r="A134" s="1"/>
      <c r="B134" s="1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70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3"/>
      <c r="AO134" s="72">
        <v>760</v>
      </c>
      <c r="AP134" s="81"/>
      <c r="AQ134" s="1"/>
      <c r="AR134" s="1"/>
      <c r="AS134" s="1"/>
      <c r="AT134" s="1"/>
      <c r="AU134" s="1"/>
      <c r="AV134" s="1"/>
    </row>
    <row r="135" spans="1:48" x14ac:dyDescent="0.3">
      <c r="A135" s="1"/>
      <c r="B135" s="1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70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3"/>
      <c r="AO135" s="72">
        <v>761</v>
      </c>
      <c r="AP135" s="81"/>
      <c r="AQ135" s="1"/>
      <c r="AR135" s="1"/>
      <c r="AS135" s="1"/>
      <c r="AT135" s="1"/>
      <c r="AU135" s="1"/>
      <c r="AV135" s="1"/>
    </row>
    <row r="136" spans="1:48" x14ac:dyDescent="0.3">
      <c r="A136" s="1"/>
      <c r="B136" s="1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70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3"/>
      <c r="AO136" s="72">
        <v>762</v>
      </c>
      <c r="AP136" s="81"/>
      <c r="AQ136" s="1"/>
      <c r="AR136" s="1"/>
      <c r="AS136" s="1"/>
      <c r="AT136" s="1"/>
      <c r="AU136" s="1"/>
      <c r="AV136" s="1"/>
    </row>
    <row r="137" spans="1:48" x14ac:dyDescent="0.3">
      <c r="A137" s="1"/>
      <c r="B137" s="1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70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3"/>
      <c r="AO137" s="72">
        <v>763</v>
      </c>
      <c r="AP137" s="81"/>
      <c r="AQ137" s="1"/>
      <c r="AR137" s="1"/>
      <c r="AS137" s="1"/>
      <c r="AT137" s="1"/>
      <c r="AU137" s="1"/>
      <c r="AV137" s="1"/>
    </row>
    <row r="138" spans="1:48" x14ac:dyDescent="0.3">
      <c r="A138" s="1"/>
      <c r="B138" s="1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70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72">
        <v>764</v>
      </c>
      <c r="AP138" s="81"/>
      <c r="AQ138" s="1"/>
      <c r="AR138" s="1"/>
      <c r="AS138" s="1"/>
      <c r="AT138" s="1"/>
      <c r="AU138" s="1"/>
      <c r="AV138" s="1"/>
    </row>
    <row r="139" spans="1:48" x14ac:dyDescent="0.3">
      <c r="A139" s="1"/>
      <c r="B139" s="1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70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72">
        <v>765</v>
      </c>
      <c r="AP139" s="81"/>
      <c r="AQ139" s="1"/>
      <c r="AR139" s="1"/>
      <c r="AS139" s="1"/>
      <c r="AT139" s="1"/>
      <c r="AU139" s="1"/>
      <c r="AV139" s="1"/>
    </row>
    <row r="140" spans="1:48" x14ac:dyDescent="0.3">
      <c r="A140" s="1"/>
      <c r="B140" s="1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70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72">
        <v>766</v>
      </c>
      <c r="AP140" s="81"/>
      <c r="AQ140" s="1"/>
      <c r="AR140" s="1"/>
      <c r="AS140" s="1"/>
      <c r="AT140" s="1"/>
      <c r="AU140" s="1"/>
      <c r="AV140" s="1"/>
    </row>
    <row r="141" spans="1:48" x14ac:dyDescent="0.3">
      <c r="A141" s="1"/>
      <c r="B141" s="1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70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72">
        <v>767</v>
      </c>
      <c r="AP141" s="81"/>
      <c r="AQ141" s="1"/>
      <c r="AR141" s="1"/>
      <c r="AS141" s="1"/>
      <c r="AT141" s="1"/>
      <c r="AU141" s="1"/>
      <c r="AV141" s="1"/>
    </row>
    <row r="142" spans="1:48" x14ac:dyDescent="0.3">
      <c r="A142" s="1"/>
      <c r="B142" s="1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70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72">
        <v>768</v>
      </c>
      <c r="AP142" s="81"/>
      <c r="AQ142" s="1"/>
      <c r="AR142" s="1"/>
      <c r="AS142" s="1"/>
      <c r="AT142" s="1"/>
      <c r="AU142" s="1"/>
      <c r="AV142" s="1"/>
    </row>
    <row r="143" spans="1:48" x14ac:dyDescent="0.3">
      <c r="A143" s="1"/>
      <c r="B143" s="1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70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72">
        <v>900</v>
      </c>
      <c r="AP143" s="81"/>
      <c r="AQ143" s="1"/>
      <c r="AR143" s="1"/>
      <c r="AS143" s="1"/>
      <c r="AT143" s="1"/>
      <c r="AU143" s="1"/>
      <c r="AV143" s="1"/>
    </row>
    <row r="144" spans="1:48" x14ac:dyDescent="0.3">
      <c r="A144" s="1"/>
      <c r="B144" s="1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70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Q144" s="1"/>
      <c r="AR144" s="1"/>
      <c r="AS144" s="1"/>
      <c r="AT144" s="1"/>
      <c r="AU144" s="1"/>
      <c r="AV144" s="1"/>
    </row>
    <row r="145" spans="1:48" x14ac:dyDescent="0.3">
      <c r="A145" s="1"/>
      <c r="B145" s="1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70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">
      <c r="A146" s="1"/>
      <c r="B146" s="1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70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">
      <c r="A147" s="1"/>
      <c r="B147" s="1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70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">
      <c r="A148" s="1"/>
      <c r="B148" s="1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70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">
      <c r="A149" s="1"/>
      <c r="B149" s="1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70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">
      <c r="A150" s="1"/>
      <c r="B150" s="1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70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">
      <c r="A151" s="1"/>
      <c r="B151" s="1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70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">
      <c r="A152" s="1"/>
      <c r="B152" s="1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70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">
      <c r="A153" s="1"/>
      <c r="B153" s="1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70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">
      <c r="A154" s="1"/>
      <c r="B154" s="1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70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">
      <c r="A155" s="1"/>
      <c r="B155" s="1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70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">
      <c r="A156" s="1"/>
      <c r="B156" s="1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70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">
      <c r="A157" s="1"/>
      <c r="B157" s="1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70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">
      <c r="A158" s="1"/>
      <c r="B158" s="1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70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">
      <c r="A159" s="1"/>
      <c r="B159" s="1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70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">
      <c r="A160" s="1"/>
      <c r="B160" s="1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70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">
      <c r="A161" s="1"/>
      <c r="B161" s="1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70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">
      <c r="A162" s="1"/>
      <c r="B162" s="1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70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">
      <c r="A163" s="1"/>
      <c r="B163" s="1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70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">
      <c r="A164" s="1"/>
      <c r="B164" s="1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70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">
      <c r="A165" s="1"/>
      <c r="B165" s="1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70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">
      <c r="A166" s="1"/>
      <c r="B166" s="1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70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">
      <c r="A167" s="1"/>
      <c r="B167" s="1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70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">
      <c r="A168" s="1"/>
      <c r="B168" s="1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70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">
      <c r="A169" s="1"/>
      <c r="B169" s="1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70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">
      <c r="A170" s="1"/>
      <c r="B170" s="1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70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">
      <c r="A171" s="1"/>
      <c r="B171" s="1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70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">
      <c r="A172" s="1"/>
      <c r="B172" s="1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70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">
      <c r="A173" s="1"/>
      <c r="B173" s="1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70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">
      <c r="A174" s="1"/>
      <c r="B174" s="1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70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">
      <c r="A175" s="1"/>
      <c r="B175" s="1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70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">
      <c r="A176" s="1"/>
      <c r="B176" s="1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70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">
      <c r="A177" s="1"/>
      <c r="B177" s="1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70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">
      <c r="A178" s="1"/>
      <c r="B178" s="1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70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">
      <c r="A179" s="1"/>
      <c r="B179" s="1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70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">
      <c r="A180" s="1"/>
      <c r="B180" s="1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70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">
      <c r="A181" s="1"/>
      <c r="B181" s="1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70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">
      <c r="A182" s="1"/>
      <c r="B182" s="1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70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">
      <c r="A183" s="1"/>
      <c r="B183" s="1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70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">
      <c r="A184" s="1"/>
      <c r="B184" s="1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70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">
      <c r="A185" s="1"/>
      <c r="B185" s="1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70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">
      <c r="A186" s="1"/>
      <c r="B186" s="1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70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">
      <c r="A187" s="1"/>
      <c r="B187" s="1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70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">
      <c r="A188" s="1"/>
      <c r="B188" s="1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70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">
      <c r="A189" s="1"/>
      <c r="B189" s="1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70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">
      <c r="A190" s="1"/>
      <c r="B190" s="1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70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">
      <c r="A191" s="1"/>
      <c r="B191" s="1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70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">
      <c r="A192" s="1"/>
      <c r="B192" s="1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70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">
      <c r="A193" s="1"/>
      <c r="B193" s="1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70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">
      <c r="A194" s="1"/>
      <c r="B194" s="1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70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">
      <c r="A195" s="1"/>
      <c r="B195" s="1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70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">
      <c r="A196" s="1"/>
      <c r="B196" s="1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70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">
      <c r="A197" s="1"/>
      <c r="B197" s="1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70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">
      <c r="A198" s="1"/>
      <c r="B198" s="1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70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">
      <c r="A199" s="1"/>
      <c r="B199" s="1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70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">
      <c r="A200" s="1"/>
      <c r="B200" s="1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70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">
      <c r="A201" s="1"/>
      <c r="B201" s="1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70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">
      <c r="A202" s="1"/>
      <c r="B202" s="1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70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">
      <c r="A203" s="1"/>
      <c r="B203" s="1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70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">
      <c r="A204" s="1"/>
      <c r="B204" s="1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70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">
      <c r="A205" s="1"/>
      <c r="B205" s="1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70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">
      <c r="A206" s="1"/>
      <c r="B206" s="1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70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">
      <c r="A207" s="1"/>
      <c r="B207" s="1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70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">
      <c r="A208" s="1"/>
      <c r="B208" s="1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70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">
      <c r="A209" s="1"/>
      <c r="B209" s="1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70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">
      <c r="A210" s="1"/>
      <c r="B210" s="1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70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">
      <c r="A211" s="1"/>
      <c r="B211" s="1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70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">
      <c r="A212" s="1"/>
      <c r="B212" s="1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70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">
      <c r="A213" s="1"/>
      <c r="B213" s="1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70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">
      <c r="A214" s="1"/>
      <c r="B214" s="1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70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">
      <c r="A215" s="1"/>
      <c r="B215" s="1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70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">
      <c r="A216" s="1"/>
      <c r="B216" s="1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70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">
      <c r="A217" s="1"/>
      <c r="B217" s="1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70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">
      <c r="A218" s="1"/>
      <c r="B218" s="1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70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">
      <c r="A219" s="1"/>
      <c r="B219" s="1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70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">
      <c r="A220" s="1"/>
      <c r="B220" s="1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70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">
      <c r="A221" s="1"/>
      <c r="B221" s="1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70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">
      <c r="A222" s="1"/>
      <c r="B222" s="1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70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">
      <c r="A223" s="1"/>
      <c r="B223" s="1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70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">
      <c r="A224" s="1"/>
      <c r="B224" s="1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70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">
      <c r="A225" s="1"/>
      <c r="B225" s="1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70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">
      <c r="A226" s="1"/>
      <c r="B226" s="1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70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">
      <c r="A227" s="1"/>
      <c r="B227" s="1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70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">
      <c r="A228" s="1"/>
      <c r="B228" s="1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70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">
      <c r="A229" s="1"/>
      <c r="B229" s="1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70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">
      <c r="A230" s="1"/>
      <c r="B230" s="1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70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">
      <c r="A231" s="1"/>
      <c r="B231" s="1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70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">
      <c r="A232" s="1"/>
      <c r="B232" s="1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70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">
      <c r="A233" s="1"/>
      <c r="B233" s="1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70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">
      <c r="A234" s="1"/>
      <c r="B234" s="1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70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">
      <c r="A235" s="1"/>
      <c r="B235" s="1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70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">
      <c r="A236" s="1"/>
      <c r="B236" s="1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70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">
      <c r="A237" s="1"/>
      <c r="B237" s="1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70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">
      <c r="A238" s="1"/>
      <c r="B238" s="1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70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">
      <c r="A239" s="1"/>
      <c r="B239" s="1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70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">
      <c r="A240" s="1"/>
      <c r="B240" s="1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70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">
      <c r="A241" s="1"/>
      <c r="B241" s="1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70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">
      <c r="A242" s="1"/>
      <c r="B242" s="1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70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">
      <c r="A243" s="1"/>
      <c r="B243" s="1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70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">
      <c r="A244" s="1"/>
      <c r="B244" s="1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70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">
      <c r="A245" s="1"/>
      <c r="B245" s="1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70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">
      <c r="A246" s="1"/>
      <c r="B246" s="1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70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">
      <c r="A247" s="1"/>
      <c r="B247" s="1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70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">
      <c r="A248" s="1"/>
      <c r="B248" s="1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70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">
      <c r="A249" s="1"/>
      <c r="B249" s="1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70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">
      <c r="A250" s="1"/>
      <c r="B250" s="1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70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">
      <c r="A251" s="1"/>
      <c r="B251" s="1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70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">
      <c r="A252" s="1"/>
      <c r="B252" s="1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70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">
      <c r="A253" s="1"/>
      <c r="B253" s="1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70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">
      <c r="A254" s="1"/>
      <c r="B254" s="1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70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">
      <c r="A255" s="1"/>
      <c r="B255" s="1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70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">
      <c r="A256" s="1"/>
      <c r="B256" s="1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70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">
      <c r="A257" s="1"/>
      <c r="B257" s="1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70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">
      <c r="A258" s="1"/>
      <c r="B258" s="1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70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">
      <c r="A259" s="1"/>
      <c r="B259" s="1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70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">
      <c r="A260" s="1"/>
      <c r="B260" s="1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70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">
      <c r="A261" s="1"/>
      <c r="B261" s="1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70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">
      <c r="A262" s="1"/>
      <c r="B262" s="1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70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">
      <c r="A263" s="1"/>
      <c r="B263" s="1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70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">
      <c r="A264" s="1"/>
      <c r="B264" s="1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70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">
      <c r="A265" s="1"/>
      <c r="B265" s="1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70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">
      <c r="A266" s="1"/>
      <c r="B266" s="1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70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">
      <c r="A267" s="1"/>
      <c r="B267" s="1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70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">
      <c r="A268" s="1"/>
      <c r="B268" s="1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70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">
      <c r="A269" s="1"/>
      <c r="B269" s="1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70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">
      <c r="A270" s="1"/>
      <c r="B270" s="1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70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">
      <c r="A271" s="1"/>
      <c r="B271" s="1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70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">
      <c r="A272" s="1"/>
      <c r="B272" s="1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70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">
      <c r="A273" s="1"/>
      <c r="B273" s="1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70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">
      <c r="A274" s="1"/>
      <c r="B274" s="1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70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">
      <c r="A275" s="1"/>
      <c r="B275" s="1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70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">
      <c r="A276" s="1"/>
      <c r="B276" s="1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70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">
      <c r="A277" s="1"/>
      <c r="B277" s="1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70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">
      <c r="A278" s="1"/>
      <c r="B278" s="1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70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">
      <c r="A279" s="1"/>
      <c r="B279" s="1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70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">
      <c r="A280" s="1"/>
      <c r="B280" s="1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70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">
      <c r="A281" s="1"/>
      <c r="B281" s="1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70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">
      <c r="A282" s="1"/>
      <c r="B282" s="1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70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">
      <c r="A283" s="1"/>
      <c r="B283" s="1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70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3">
      <c r="A284" s="1"/>
      <c r="B284" s="1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70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3">
      <c r="A285" s="1"/>
      <c r="B285" s="1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70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3">
      <c r="A286" s="1"/>
      <c r="B286" s="1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70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3">
      <c r="A287" s="1"/>
      <c r="B287" s="1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70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3">
      <c r="A288" s="1"/>
      <c r="B288" s="1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70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3">
      <c r="A289" s="1"/>
      <c r="B289" s="1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70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3">
      <c r="A290" s="1"/>
      <c r="B290" s="1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70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3">
      <c r="A291" s="1"/>
      <c r="B291" s="1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70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3">
      <c r="A292" s="1"/>
      <c r="B292" s="1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70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3">
      <c r="A293" s="1"/>
      <c r="B293" s="1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70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3">
      <c r="A294" s="1"/>
      <c r="B294" s="1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70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3">
      <c r="A295" s="1"/>
      <c r="B295" s="1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70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3">
      <c r="A296" s="1"/>
      <c r="B296" s="1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70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3">
      <c r="A297" s="1"/>
      <c r="B297" s="1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70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3">
      <c r="A298" s="1"/>
      <c r="B298" s="1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70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3">
      <c r="A299" s="1"/>
      <c r="B299" s="1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70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3">
      <c r="A300" s="1"/>
      <c r="B300" s="1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70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3">
      <c r="A301" s="1"/>
      <c r="B301" s="1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70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3">
      <c r="A302" s="1"/>
      <c r="B302" s="1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70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Q302" s="1"/>
      <c r="AR302" s="1"/>
      <c r="AS302" s="1"/>
      <c r="AT302" s="1"/>
      <c r="AU302" s="1"/>
      <c r="AV302" s="1"/>
    </row>
    <row r="303" spans="1:48" x14ac:dyDescent="0.3">
      <c r="A303" s="1"/>
      <c r="B303" s="1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70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Q303" s="1"/>
      <c r="AR303" s="1"/>
      <c r="AS303" s="1"/>
      <c r="AT303" s="1"/>
      <c r="AU303" s="1"/>
      <c r="AV303" s="1"/>
    </row>
    <row r="304" spans="1:48" x14ac:dyDescent="0.3">
      <c r="A304" s="1"/>
      <c r="B304" s="1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70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Q304" s="1"/>
      <c r="AR304" s="1"/>
      <c r="AS304" s="1"/>
      <c r="AT304" s="1"/>
      <c r="AU304" s="1"/>
      <c r="AV304" s="1"/>
    </row>
    <row r="305" spans="1:48" x14ac:dyDescent="0.3">
      <c r="A305" s="1"/>
      <c r="B305" s="1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70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Q305" s="1"/>
      <c r="AR305" s="1"/>
      <c r="AS305" s="1"/>
      <c r="AT305" s="1"/>
      <c r="AU305" s="1"/>
      <c r="AV305" s="1"/>
    </row>
    <row r="306" spans="1:48" x14ac:dyDescent="0.3">
      <c r="A306" s="1"/>
      <c r="B306" s="1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70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Q306" s="1"/>
      <c r="AR306" s="1"/>
      <c r="AS306" s="1"/>
      <c r="AT306" s="1"/>
      <c r="AU306" s="1"/>
      <c r="AV306" s="1"/>
    </row>
    <row r="307" spans="1:48" x14ac:dyDescent="0.3">
      <c r="A307" s="1"/>
      <c r="B307" s="1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70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Q307" s="1"/>
      <c r="AR307" s="1"/>
      <c r="AS307" s="1"/>
      <c r="AT307" s="1"/>
      <c r="AU307" s="1"/>
      <c r="AV307" s="1"/>
    </row>
    <row r="308" spans="1:48" x14ac:dyDescent="0.3">
      <c r="A308" s="1"/>
      <c r="B308" s="1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70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Q308" s="1"/>
      <c r="AR308" s="1"/>
      <c r="AS308" s="1"/>
      <c r="AT308" s="1"/>
      <c r="AU308" s="1"/>
      <c r="AV308" s="1"/>
    </row>
    <row r="309" spans="1:48" x14ac:dyDescent="0.3">
      <c r="A309" s="1"/>
      <c r="B309" s="1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70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Q309" s="1"/>
      <c r="AR309" s="1"/>
      <c r="AS309" s="1"/>
      <c r="AT309" s="1"/>
      <c r="AU309" s="1"/>
      <c r="AV309" s="1"/>
    </row>
    <row r="310" spans="1:48" x14ac:dyDescent="0.3">
      <c r="AO310" s="1"/>
    </row>
    <row r="311" spans="1:48" x14ac:dyDescent="0.3">
      <c r="AO311" s="1"/>
    </row>
    <row r="312" spans="1:48" x14ac:dyDescent="0.3">
      <c r="AO312" s="1"/>
    </row>
    <row r="313" spans="1:48" x14ac:dyDescent="0.3">
      <c r="AO313" s="1"/>
    </row>
    <row r="314" spans="1:48" x14ac:dyDescent="0.3">
      <c r="AO314" s="1"/>
    </row>
  </sheetData>
  <sheetProtection algorithmName="SHA-512" hashValue="gtk8+uxLGyBZMtKi51Ajelsr+RkXOoO+pAAJWTUseBc5n+dH3T7hunWQKq8Rn4U36YUaGQasdbGCb45nD58r8w==" saltValue="AqCgWdvv5rtB0DiK8XIYrg==" spinCount="100000" sheet="1" formatCells="0" formatColumns="0" formatRows="0" insertColumns="0" insertRows="0" insertHyperlinks="0" deleteColumns="0" deleteRows="0"/>
  <mergeCells count="169">
    <mergeCell ref="M10:P10"/>
    <mergeCell ref="I58:J61"/>
    <mergeCell ref="F3:P3"/>
    <mergeCell ref="I8:K8"/>
    <mergeCell ref="M8:O8"/>
    <mergeCell ref="B11:P11"/>
    <mergeCell ref="B12:C16"/>
    <mergeCell ref="D12:E16"/>
    <mergeCell ref="F12:J16"/>
    <mergeCell ref="K12:L16"/>
    <mergeCell ref="M15:M16"/>
    <mergeCell ref="N15:N16"/>
    <mergeCell ref="O15:O16"/>
    <mergeCell ref="P15:P16"/>
    <mergeCell ref="M5:P5"/>
    <mergeCell ref="B21:C21"/>
    <mergeCell ref="D21:E21"/>
    <mergeCell ref="F21:J21"/>
    <mergeCell ref="K21:L21"/>
    <mergeCell ref="B24:C24"/>
    <mergeCell ref="D24:E24"/>
    <mergeCell ref="F24:J24"/>
    <mergeCell ref="K24:L24"/>
    <mergeCell ref="B25:C25"/>
    <mergeCell ref="B17:C17"/>
    <mergeCell ref="D17:E17"/>
    <mergeCell ref="F17:J17"/>
    <mergeCell ref="K17:L17"/>
    <mergeCell ref="B20:C20"/>
    <mergeCell ref="D20:E20"/>
    <mergeCell ref="F20:J20"/>
    <mergeCell ref="K20:L20"/>
    <mergeCell ref="B18:C18"/>
    <mergeCell ref="D18:E18"/>
    <mergeCell ref="F18:J18"/>
    <mergeCell ref="K18:L18"/>
    <mergeCell ref="B19:C19"/>
    <mergeCell ref="D19:E19"/>
    <mergeCell ref="F19:J19"/>
    <mergeCell ref="K19:L19"/>
    <mergeCell ref="D25:E25"/>
    <mergeCell ref="F25:J25"/>
    <mergeCell ref="K25:L25"/>
    <mergeCell ref="B22:C22"/>
    <mergeCell ref="D22:E22"/>
    <mergeCell ref="F22:J22"/>
    <mergeCell ref="K22:L22"/>
    <mergeCell ref="B23:C23"/>
    <mergeCell ref="D23:E23"/>
    <mergeCell ref="F23:J23"/>
    <mergeCell ref="K23:L23"/>
    <mergeCell ref="B28:C28"/>
    <mergeCell ref="D28:E28"/>
    <mergeCell ref="F28:J28"/>
    <mergeCell ref="K28:L28"/>
    <mergeCell ref="B29:C29"/>
    <mergeCell ref="D29:E29"/>
    <mergeCell ref="F29:J29"/>
    <mergeCell ref="K29:L29"/>
    <mergeCell ref="B26:C26"/>
    <mergeCell ref="D26:E26"/>
    <mergeCell ref="F26:J26"/>
    <mergeCell ref="K26:L26"/>
    <mergeCell ref="B27:C27"/>
    <mergeCell ref="D27:E27"/>
    <mergeCell ref="F27:J27"/>
    <mergeCell ref="K27:L27"/>
    <mergeCell ref="B32:C32"/>
    <mergeCell ref="D32:E32"/>
    <mergeCell ref="F32:J32"/>
    <mergeCell ref="K32:L32"/>
    <mergeCell ref="B33:C33"/>
    <mergeCell ref="D33:E33"/>
    <mergeCell ref="F33:J33"/>
    <mergeCell ref="K33:L33"/>
    <mergeCell ref="B30:C30"/>
    <mergeCell ref="D30:E30"/>
    <mergeCell ref="F30:J30"/>
    <mergeCell ref="K30:L30"/>
    <mergeCell ref="B31:C31"/>
    <mergeCell ref="D31:E31"/>
    <mergeCell ref="F31:J31"/>
    <mergeCell ref="K31:L31"/>
    <mergeCell ref="B36:C36"/>
    <mergeCell ref="D36:E36"/>
    <mergeCell ref="F36:J36"/>
    <mergeCell ref="K36:L36"/>
    <mergeCell ref="B37:C37"/>
    <mergeCell ref="D37:E37"/>
    <mergeCell ref="F37:J37"/>
    <mergeCell ref="K37:L37"/>
    <mergeCell ref="B34:C34"/>
    <mergeCell ref="D34:E34"/>
    <mergeCell ref="F34:J34"/>
    <mergeCell ref="K34:L34"/>
    <mergeCell ref="B35:C35"/>
    <mergeCell ref="D35:E35"/>
    <mergeCell ref="F35:J35"/>
    <mergeCell ref="K35:L35"/>
    <mergeCell ref="B40:C40"/>
    <mergeCell ref="D40:E40"/>
    <mergeCell ref="F40:J40"/>
    <mergeCell ref="K40:L40"/>
    <mergeCell ref="B41:C41"/>
    <mergeCell ref="D41:E41"/>
    <mergeCell ref="F41:J41"/>
    <mergeCell ref="K41:L41"/>
    <mergeCell ref="B38:C38"/>
    <mergeCell ref="D38:E38"/>
    <mergeCell ref="F38:J38"/>
    <mergeCell ref="K38:L38"/>
    <mergeCell ref="B39:C39"/>
    <mergeCell ref="D39:E39"/>
    <mergeCell ref="F39:J39"/>
    <mergeCell ref="K39:L39"/>
    <mergeCell ref="B44:C44"/>
    <mergeCell ref="D44:E44"/>
    <mergeCell ref="F44:J44"/>
    <mergeCell ref="K44:L44"/>
    <mergeCell ref="B45:C45"/>
    <mergeCell ref="D45:E45"/>
    <mergeCell ref="F45:J45"/>
    <mergeCell ref="K45:L45"/>
    <mergeCell ref="B42:C42"/>
    <mergeCell ref="D42:E42"/>
    <mergeCell ref="F42:J42"/>
    <mergeCell ref="K42:L42"/>
    <mergeCell ref="B43:C43"/>
    <mergeCell ref="D43:E43"/>
    <mergeCell ref="F43:J43"/>
    <mergeCell ref="K43:L43"/>
    <mergeCell ref="B48:C48"/>
    <mergeCell ref="D48:E48"/>
    <mergeCell ref="F48:J48"/>
    <mergeCell ref="K48:L48"/>
    <mergeCell ref="B49:C49"/>
    <mergeCell ref="D49:E49"/>
    <mergeCell ref="F49:J49"/>
    <mergeCell ref="K49:L49"/>
    <mergeCell ref="B46:C46"/>
    <mergeCell ref="D46:E46"/>
    <mergeCell ref="F46:J46"/>
    <mergeCell ref="K46:L46"/>
    <mergeCell ref="B47:C47"/>
    <mergeCell ref="D47:E47"/>
    <mergeCell ref="F47:J47"/>
    <mergeCell ref="K47:L47"/>
    <mergeCell ref="F56:H56"/>
    <mergeCell ref="F58:H58"/>
    <mergeCell ref="N58:P60"/>
    <mergeCell ref="F60:H60"/>
    <mergeCell ref="B52:C52"/>
    <mergeCell ref="D52:E52"/>
    <mergeCell ref="F52:J52"/>
    <mergeCell ref="K52:L52"/>
    <mergeCell ref="B53:C53"/>
    <mergeCell ref="D53:E53"/>
    <mergeCell ref="F53:J53"/>
    <mergeCell ref="K53:L53"/>
    <mergeCell ref="B50:C50"/>
    <mergeCell ref="D50:E50"/>
    <mergeCell ref="F50:J50"/>
    <mergeCell ref="K50:L50"/>
    <mergeCell ref="B51:C51"/>
    <mergeCell ref="D51:E51"/>
    <mergeCell ref="F51:J51"/>
    <mergeCell ref="K51:L51"/>
    <mergeCell ref="C55:I55"/>
    <mergeCell ref="L55:N55"/>
  </mergeCells>
  <dataValidations count="1">
    <dataValidation type="list" errorStyle="warning" allowBlank="1" showInputMessage="1" showErrorMessage="1" error="PLEASE CHOOSE VALID DEPT / STORE #" prompt="CHOOSE DEPT / STORE #" sqref="G54:H54 P8" xr:uid="{26D29038-E70A-4BDE-AA41-F7A0634FA725}">
      <formula1>$AO$10:$AO$143</formula1>
    </dataValidation>
  </dataValidations>
  <pageMargins left="0.25" right="0.25" top="0.25" bottom="0.25" header="0.5" footer="0.5"/>
  <pageSetup scale="6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23CCDF9A1E784F9A657989FA5CB9B9" ma:contentTypeVersion="7" ma:contentTypeDescription="Create a new document." ma:contentTypeScope="" ma:versionID="bf61ce6072d2ef91527beb5bc8292ac0">
  <xsd:schema xmlns:xsd="http://www.w3.org/2001/XMLSchema" xmlns:xs="http://www.w3.org/2001/XMLSchema" xmlns:p="http://schemas.microsoft.com/office/2006/metadata/properties" xmlns:ns2="0a4be985-efcb-4772-9c6a-7624a2a49c32" xmlns:ns3="20ea6e60-11bf-4854-ba68-dfdeabc120fa" targetNamespace="http://schemas.microsoft.com/office/2006/metadata/properties" ma:root="true" ma:fieldsID="1ad3b60fe297ed65d12e5648232d82db" ns2:_="" ns3:_="">
    <xsd:import namespace="0a4be985-efcb-4772-9c6a-7624a2a49c32"/>
    <xsd:import namespace="20ea6e60-11bf-4854-ba68-dfdeabc12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be985-efcb-4772-9c6a-7624a2a49c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a6e60-11bf-4854-ba68-dfdeabc120f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FA9BE7-2655-47E2-B889-08DBEBD862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4be985-efcb-4772-9c6a-7624a2a49c32"/>
    <ds:schemaRef ds:uri="20ea6e60-11bf-4854-ba68-dfdeabc120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8A0175-7BC0-4B42-9247-109570AF10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9EF022-8DA5-4D17-81B6-D50558D5674F}">
  <ds:schemaRefs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20ea6e60-11bf-4854-ba68-dfdeabc120fa"/>
    <ds:schemaRef ds:uri="0a4be985-efcb-4772-9c6a-7624a2a49c3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Brien Corprew</dc:creator>
  <cp:keywords/>
  <dc:description/>
  <cp:lastModifiedBy>Erica Marmolejo</cp:lastModifiedBy>
  <cp:revision/>
  <dcterms:created xsi:type="dcterms:W3CDTF">2022-02-08T16:40:05Z</dcterms:created>
  <dcterms:modified xsi:type="dcterms:W3CDTF">2026-07-23T15:06:35Z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0x010100E423CCDF9A1E784F9A657989FA5CB9B9</vt:lpwstr>
  </property>
</Properties>
</file>